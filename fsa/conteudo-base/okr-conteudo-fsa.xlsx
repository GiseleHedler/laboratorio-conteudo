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Como funciona" sheetId="1" state="visible" r:id="rId1"/>
    <sheet xmlns:r="http://schemas.openxmlformats.org/officeDocument/2006/relationships" name="2. OKR do mês" sheetId="2" state="visible" r:id="rId2"/>
    <sheet xmlns:r="http://schemas.openxmlformats.org/officeDocument/2006/relationships" name="3. Entregas da semana" sheetId="3" state="visible" r:id="rId3"/>
    <sheet xmlns:r="http://schemas.openxmlformats.org/officeDocument/2006/relationships" name="4. Placar por peça" sheetId="4" state="visible" r:id="rId4"/>
    <sheet xmlns:r="http://schemas.openxmlformats.org/officeDocument/2006/relationships" name="5. KPIs da semana" sheetId="5" state="visible" r:id="rId5"/>
    <sheet xmlns:r="http://schemas.openxmlformats.org/officeDocument/2006/relationships" name="6. Checklist do roteiro" sheetId="6" state="visible" r:id="rId6"/>
    <sheet xmlns:r="http://schemas.openxmlformats.org/officeDocument/2006/relationships" name="7. Calendário de captura"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C2185B"/>
      <sz val="16"/>
    </font>
    <font>
      <b val="1"/>
    </font>
    <font>
      <b val="1"/>
      <color rgb="00FFFFFF"/>
    </font>
  </fonts>
  <fills count="5">
    <fill>
      <patternFill/>
    </fill>
    <fill>
      <patternFill patternType="gray125"/>
    </fill>
    <fill>
      <patternFill patternType="solid">
        <fgColor rgb="00FFF4E5"/>
      </patternFill>
    </fill>
    <fill>
      <patternFill patternType="solid">
        <fgColor rgb="00241A21"/>
      </patternFill>
    </fill>
    <fill>
      <patternFill patternType="solid">
        <fgColor rgb="00EEF4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0" fillId="2" borderId="0" pivotButton="0" quotePrefix="0" xfId="0"/>
    <xf numFmtId="0" fontId="2" fillId="0" borderId="0" pivotButton="0" quotePrefix="0" xfId="0"/>
    <xf numFmtId="0" fontId="3" fillId="3" borderId="1" applyAlignment="1" pivotButton="0" quotePrefix="0" xfId="0">
      <alignment vertical="center" wrapText="1"/>
    </xf>
    <xf numFmtId="0" fontId="2" fillId="0" borderId="1" pivotButton="0" quotePrefix="0" xfId="0"/>
    <xf numFmtId="0" fontId="0" fillId="0" borderId="1" applyAlignment="1" pivotButton="0" quotePrefix="0" xfId="0">
      <alignment vertical="top" wrapText="1"/>
    </xf>
    <xf numFmtId="0" fontId="0" fillId="2" borderId="1" pivotButton="0" quotePrefix="0" xfId="0"/>
    <xf numFmtId="9" fontId="0" fillId="0" borderId="1" pivotButton="0" quotePrefix="0" xfId="0"/>
    <xf numFmtId="0" fontId="0" fillId="0" borderId="1" pivotButton="0" quotePrefix="0" xfId="0"/>
    <xf numFmtId="9" fontId="0" fillId="4" borderId="1" pivotButton="0" quotePrefix="0" xfId="0"/>
    <xf numFmtId="9" fontId="0" fillId="2" borderId="0" pivotButton="0" quotePrefix="0" xfId="0"/>
    <xf numFmtId="164" fontId="0" fillId="2" borderId="0" pivotButton="0" quotePrefix="0" xfId="0"/>
    <xf numFmtId="164" fontId="0" fillId="4" borderId="1" pivotButton="0" quotePrefix="0" xfId="0"/>
    <xf numFmtId="0" fontId="0" fillId="4" borderId="1" pivotButton="0" quotePrefix="0" xfId="0"/>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95" customWidth="1" min="2" max="2"/>
  </cols>
  <sheetData>
    <row r="1">
      <c r="A1" s="1" t="inlineStr">
        <is>
          <t>Conteúdo e Base FSA · Como funciona</t>
        </is>
      </c>
    </row>
    <row r="3" ht="30" customHeight="1">
      <c r="A3" s="2" t="inlineStr">
        <is>
          <t>AS CAMADAS (ler primeiro)</t>
        </is>
      </c>
      <c r="B3" s="3" t="inlineStr">
        <is>
          <t>O PRINCIPAL DA SEMANA é transformar seguidor em base (e-mail). O número que mais importa: e-mails novos + cliques na newsletter.</t>
        </is>
      </c>
    </row>
    <row r="4" ht="30" customHeight="1">
      <c r="A4" s="2" t="inlineStr">
        <is>
          <t>CAMADA 1 · O CENTRO</t>
        </is>
      </c>
      <c r="B4" s="3" t="inlineStr">
        <is>
          <t>Tema da semana (vem da live) → NEWSLETTER. É o produto da semana e o que mantém a base quente.</t>
        </is>
      </c>
    </row>
    <row r="5" ht="30" customHeight="1">
      <c r="A5" s="2" t="inlineStr">
        <is>
          <t>CAMADA 2 · A PONTE</t>
        </is>
      </c>
      <c r="B5" s="3" t="inlineStr">
        <is>
          <t>Criativo de captura ("comenta e recebe"). Leva a pessoa do Instagram para dentro da base.</t>
        </is>
      </c>
    </row>
    <row r="6" ht="45" customHeight="1">
      <c r="A6" s="2" t="inlineStr">
        <is>
          <t>CAMADA 3 · O COMBUSTÍVEL</t>
        </is>
      </c>
      <c r="B6" s="3" t="inlineStr">
        <is>
          <t>Reels, carrosséis e YouTube. Atraem gente nova e aquecem quem já segue. Uns 3 por semana no tema da semana; o resto nos assuntos fixos ligados às formações (para o perfil não ficar repetitivo).</t>
        </is>
      </c>
    </row>
    <row r="7" ht="60" customHeight="1">
      <c r="A7" s="2" t="inlineStr">
        <is>
          <t>CARROSSEL DA NEWSLETTER</t>
        </is>
      </c>
      <c r="B7" s="3" t="inlineStr">
        <is>
          <t>NUNCA abrir com "o tema da newsletter desta semana". A capa é a ideia mais surpreendente que está DENTRO da newsletter, algo que quebra a cabeça e faz rolar. Só no último slide a pessoa descobre que aquilo é um pedaço da newsletter: "Isso saiu na nossa newsletter desta semana. Quer receber as próximas? Comenta NEWS."</t>
        </is>
      </c>
    </row>
    <row r="8" ht="75" customHeight="1">
      <c r="A8" s="2" t="inlineStr">
        <is>
          <t>COMO SOMOS MEDIDOS (3 níveis)</t>
        </is>
      </c>
      <c r="B8" s="3" t="inlineStr">
        <is>
          <t>1) TODA SEMANA, ENTREGAS (aba 3): fiz o que combinei? Meta 100%. 2) TODA SEMANA, KPIs (aba 5): os números que mostram se a operação está saudável (seguidores novos, engajados, e-mails novos, cliques). Eu trago e comparo com a semana anterior. 3) TODO MÊS, OKR (aba 2): a meta de RESULTADO do mês. É o que diz se o trabalho trouxe resultado. E em cada peça, o PLACAR (aba 4): gancho, retenção e conversão de cada reel e carrossel.</t>
        </is>
      </c>
    </row>
    <row r="9" ht="30" customHeight="1">
      <c r="A9" s="2" t="inlineStr">
        <is>
          <t>OKR x KPI</t>
        </is>
      </c>
      <c r="B9" s="3" t="inlineStr">
        <is>
          <t>OKR é o que queremos MUDAR no mês (crescer a base, aumentar cliques). KPI é o que não podemos deixar PIORAR toda semana. OKR muda a cada mês; KPI é sempre o mesmo painel.</t>
        </is>
      </c>
    </row>
    <row r="10" ht="30" customHeight="1">
      <c r="A10" s="2" t="inlineStr">
        <is>
          <t>VISÃO</t>
        </is>
      </c>
      <c r="B10" s="3" t="inlineStr">
        <is>
          <t>Reaquecer a base da FSA e deixá-la pronta para a próxima oferta. Instagram atrai e aquece; e-mail (newsletter) é a base que é nossa.</t>
        </is>
      </c>
    </row>
    <row r="11" ht="30" customHeight="1">
      <c r="A11" s="2" t="inlineStr">
        <is>
          <t>RESPONSÁVEL</t>
        </is>
      </c>
      <c r="B11" s="3" t="inlineStr">
        <is>
          <t>Uma pessoa: roteiros de reels, carrosséis, newsletter e criativo de captura. Ajuda na copy quando a Gisele pedir.</t>
        </is>
      </c>
    </row>
    <row r="12" ht="30" customHeight="1">
      <c r="A12" s="2" t="inlineStr">
        <is>
          <t>QUEM APARECE</t>
        </is>
      </c>
      <c r="B12" s="3" t="inlineStr">
        <is>
          <t>Reels e carrosséis divididos entre o Gabriel de Carvalho e a professora Liliane. Ela distribui entre os dois.</t>
        </is>
      </c>
    </row>
    <row r="13" ht="30" customHeight="1">
      <c r="A13" s="2" t="inlineStr">
        <is>
          <t>O CENTRO DA SEMANA</t>
        </is>
      </c>
      <c r="B13" s="3" t="inlineStr">
        <is>
          <t>A live semanal (aberta para toda a base). O tema da live vira a newsletter da semana. NÃO usar cortes da live como reels.</t>
        </is>
      </c>
    </row>
    <row r="14" ht="30" customHeight="1">
      <c r="A14" s="2" t="inlineStr">
        <is>
          <t>ENTREGAS DA SEMANA</t>
        </is>
      </c>
      <c r="B14" s="3" t="inlineStr">
        <is>
          <t>5 roteiros de reels + 4 carrosséis + 1 newsletter + YouTube (5 Shorts + a live da semana). Um dos reels ou carrosséis é o criativo de captura ("comenta X e recebe Y").</t>
        </is>
      </c>
    </row>
    <row r="15" ht="30" customHeight="1">
      <c r="A15" s="2" t="inlineStr">
        <is>
          <t>YOUTUBE: SHORTS</t>
        </is>
      </c>
      <c r="B15" s="3" t="inlineStr">
        <is>
          <t>Os 5 reels da semana sobem também como Shorts no YouTube. Sem roteiro novo: é repostar, com título próprio para o YouTube.</t>
        </is>
      </c>
    </row>
    <row r="16" ht="45" customHeight="1">
      <c r="A16" s="2" t="inlineStr">
        <is>
          <t>YOUTUBE: A LIVE DA SEMANA</t>
        </is>
      </c>
      <c r="B16" s="3" t="inlineStr">
        <is>
          <t>A gravação da live sobe no YouTube toda semana. O trabalho dela: título forte (com a palavra que a pessoa buscaria no Google), capa com foto real e texto grande, descrição com o resumo, os momentos principais e o link da newsletter. Tempo: uns 30 minutos.</t>
        </is>
      </c>
    </row>
    <row r="17" ht="45" customHeight="1">
      <c r="A17" s="2" t="inlineStr">
        <is>
          <t>YOUTUBE: O PAPEL</t>
        </is>
      </c>
      <c r="B17" s="3" t="inlineStr">
        <is>
          <t>Quem busca no YouTube quer conteúdo longo e pesquisa por assunto. Todo vídeo leva para a newsletter: link na descrição e no comentário fixado. No futuro, se der resultado, pode entrar 1 vídeo roteirizado por semana; nesse caso, sai 2 reels para abrir espaço.</t>
        </is>
      </c>
    </row>
    <row r="18" ht="45" customHeight="1">
      <c r="A18" s="2" t="inlineStr">
        <is>
          <t>CRIATIVO DE CAPTURA (rodízio)</t>
        </is>
      </c>
      <c r="B18" s="3" t="inlineStr">
        <is>
          <t>Semana 1: fica na DM (engajamento). Semana 2: DM pede o e-mail e o material chega por e-mail (base). Semana 3: carrossel com o tema da newsletter + convite "comenta NEWS". Semana 4: DM para e-mail com material de outra formação.</t>
        </is>
      </c>
    </row>
    <row r="19" ht="45" customHeight="1">
      <c r="A19" s="2" t="inlineStr">
        <is>
          <t>MATERIAL DE CAPTURA</t>
        </is>
      </c>
      <c r="B19" s="3" t="inlineStr">
        <is>
          <t>Sempre ligado a uma formação (exames, suplementação, hormonal, fertilidade, jejum, alergias). Nada genérico. Conteúdo técnico tirado do material da FSA (live ou aula), nunca de fonte de fora sem checar.</t>
        </is>
      </c>
    </row>
    <row r="20" ht="60" customHeight="1">
      <c r="A20" s="2" t="inlineStr">
        <is>
          <t>ROTINA (D = dia da live)</t>
        </is>
      </c>
      <c r="B20" s="3" t="inlineStr">
        <is>
          <t>D+1: transcrição (Descript) e rascunho da newsletter. SEXTA-FEIRA: manda numa mensagem só o PACOTE DA PRÓXIMA SEMANA (roteiros, carrosséis, newsletter, captura) + o RELATÓRIO DA SEMANA (aba 5 preenchida). Segunda a quinta: produz, publica e preenche o placar (aba 4). Newsletter: escrita a partir da live, enviada até 2 dias depois dela.</t>
        </is>
      </c>
    </row>
    <row r="21" ht="45" customHeight="1">
      <c r="A21" s="2" t="inlineStr">
        <is>
          <t>IMAGENS (responsabilidade dela)</t>
        </is>
      </c>
      <c r="B21" s="3" t="inlineStr">
        <is>
          <t>Todo roteiro e carrossel sai com as imagens escolhidas, não só o texto. Imagem REAL, nunca de IA: professores, aulas, bastidores, prova (depoimentos e prints de alunos), e imagem daquilo que se está falando (o exame, o suplemento, o alimento). Muita imagem.</t>
        </is>
      </c>
    </row>
    <row r="22" ht="30" customHeight="1">
      <c r="A22" s="2" t="inlineStr">
        <is>
          <t>BANCO DE IMAGENS</t>
        </is>
      </c>
      <c r="B22" s="3" t="inlineStr">
        <is>
          <t>Usar primeiro os bancos próprios da FSA (fotos e vídeos de professores, aulas, bastidores, prova). O Elements só para o que é genérico (alimento, laboratório, fundo).</t>
        </is>
      </c>
    </row>
    <row r="23" ht="30" customHeight="1">
      <c r="A23" s="2" t="inlineStr">
        <is>
          <t>ARTE DO CARROSSEL</t>
        </is>
      </c>
      <c r="B23" s="3" t="inlineStr">
        <is>
          <t>A Claude monta o carrossel (skill carrossel FSA) a partir do texto e das fotos que ELA envia. Nenhuma imagem é gerada por IA: as fotos vêm sempre dos bancos da FSA ou do Elements.</t>
        </is>
      </c>
    </row>
    <row r="24" ht="30" customHeight="1">
      <c r="A24" s="2" t="inlineStr">
        <is>
          <t>AUTORIZAÇÃO DE IMAGEM</t>
        </is>
      </c>
      <c r="B24" s="3" t="inlineStr">
        <is>
          <t>Depoimento e print de aluno só com autorização. Exame de paciente só sem nome, data de nascimento ou qualquer dado que identifique.</t>
        </is>
      </c>
    </row>
    <row r="25" ht="30" customHeight="1">
      <c r="A25" s="2" t="inlineStr">
        <is>
          <t>APROVAÇÃO</t>
        </is>
      </c>
      <c r="B25" s="3" t="inlineStr">
        <is>
          <t>Tudo passa pela Gisele antes de sair, em LOTE, uma vez por semana: na SEXTA, o pacote da semana seguinte. A primeira entrega é na segunda-feira, 26/10.</t>
        </is>
      </c>
    </row>
    <row r="26" ht="30" customHeight="1">
      <c r="A26" s="2" t="inlineStr">
        <is>
          <t>PRIORIDADE SE O TEMPO APERTAR</t>
        </is>
      </c>
      <c r="B26" s="3" t="inlineStr">
        <is>
          <t>1) Newsletter  2) Criativo de captura  3) Carrosséis  4) Reels  5) Live no YouTube  6) Shorts</t>
        </is>
      </c>
    </row>
    <row r="27" ht="30" customHeight="1">
      <c r="A27" s="2" t="inlineStr">
        <is>
          <t>A META É RESULTADO</t>
        </is>
      </c>
      <c r="B27" s="3" t="inlineStr">
        <is>
          <t>Toda peça tem placar (aba 4). Gancho, retenção e conversão são medidos em cada reel. Não basta entregar: tem que superar a própria média.</t>
        </is>
      </c>
    </row>
    <row r="28" ht="30" customHeight="1">
      <c r="A28" s="2" t="inlineStr">
        <is>
          <t>TODA SEMANA, 3 LINHAS</t>
        </is>
      </c>
      <c r="B28" s="3" t="inlineStr">
        <is>
          <t>O que funcionou. O que não funcionou. O que vou testar na semana que vem. (aba 5)</t>
        </is>
      </c>
    </row>
    <row r="29" ht="45" customHeight="1">
      <c r="A29" s="2" t="inlineStr">
        <is>
          <t>REGRAS QUE NÃO MUDAM</t>
        </is>
      </c>
      <c r="B29" s="3" t="inlineStr">
        <is>
          <t>Mesma mensagem da página de destino em toda peça de campanha. Fatos com fonte. Sem promessa de cura ou resultado. Respeitar as regras do conselho. Sem travessão. Português do Brasil.</t>
        </is>
      </c>
    </row>
    <row r="30" ht="45" customHeight="1">
      <c r="A30" s="2" t="inlineStr">
        <is>
          <t>BASE DE E-MAIL</t>
        </is>
      </c>
      <c r="B30" s="3" t="inlineStr">
        <is>
          <t>Reaquecer em ordem: semanas 1 e 2 só para quem abriu ou clicou nos últimos 6 meses; semana 3 campanha de reativação para os parados; depois tirar do envio quem não abre há 12 meses. Spam acima de 0,1%: parar e corrigir.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46" customWidth="1" min="2" max="2"/>
    <col width="18" customWidth="1" min="3" max="3"/>
    <col width="14" customWidth="1" min="4" max="4"/>
    <col width="14" customWidth="1" min="5" max="5"/>
    <col width="12" customWidth="1" min="6" max="6"/>
    <col width="40" customWidth="1" min="7" max="7"/>
  </cols>
  <sheetData>
    <row r="1">
      <c r="A1" s="1" t="inlineStr">
        <is>
          <t>OKR do mês</t>
        </is>
      </c>
    </row>
    <row r="2">
      <c r="A2" t="inlineStr">
        <is>
          <t>Mês:</t>
        </is>
      </c>
      <c r="B2" s="4" t="n"/>
    </row>
    <row r="3">
      <c r="A3" t="inlineStr">
        <is>
          <t>Objetivo:</t>
        </is>
      </c>
      <c r="B3" s="5" t="inlineStr">
        <is>
          <t>Reaquecer a base da FSA e deixá-la pronta para a próxima oferta.</t>
        </is>
      </c>
    </row>
    <row r="5">
      <c r="A5" s="6" t="inlineStr">
        <is>
          <t>Resultado-chave</t>
        </is>
      </c>
      <c r="B5" s="6" t="inlineStr">
        <is>
          <t>Como medir</t>
        </is>
      </c>
      <c r="C5" s="6" t="inlineStr">
        <is>
          <t>Linha de base (mês anterior)</t>
        </is>
      </c>
      <c r="D5" s="6" t="inlineStr">
        <is>
          <t>Meta do mês</t>
        </is>
      </c>
      <c r="E5" s="6" t="inlineStr">
        <is>
          <t>Realizado</t>
        </is>
      </c>
      <c r="F5" s="6" t="inlineStr">
        <is>
          <t>% atingido</t>
        </is>
      </c>
      <c r="G5" s="6" t="inlineStr">
        <is>
          <t>Comentário</t>
        </is>
      </c>
    </row>
    <row r="6" ht="32" customHeight="1">
      <c r="A6" s="7" t="inlineStr">
        <is>
          <t>KR1. Gancho e retenção dos reels</t>
        </is>
      </c>
      <c r="B6" s="8" t="inlineStr">
        <is>
          <t>% dos reels do mês com retenção (tempo médio ÷ duração) acima da linha de base</t>
        </is>
      </c>
      <c r="C6" s="9" t="n"/>
      <c r="D6" s="9" t="n"/>
      <c r="E6" s="9" t="n"/>
      <c r="F6" s="10">
        <f>IFERROR(E6/D6,"")</f>
        <v/>
      </c>
      <c r="G6" s="11" t="n"/>
    </row>
    <row r="7" ht="32" customHeight="1">
      <c r="A7" s="7" t="inlineStr">
        <is>
          <t>KR2. Base nova vinda do Instagram</t>
        </is>
      </c>
      <c r="B7" s="8" t="inlineStr">
        <is>
          <t>E-mails novos gerados pelos criativos de captura no mês</t>
        </is>
      </c>
      <c r="C7" s="9" t="n"/>
      <c r="D7" s="9" t="n"/>
      <c r="E7" s="9" t="n"/>
      <c r="F7" s="10">
        <f>IFERROR(E7/D7,"")</f>
        <v/>
      </c>
      <c r="G7" s="11" t="n"/>
    </row>
    <row r="8" ht="32" customHeight="1">
      <c r="A8" s="7" t="inlineStr">
        <is>
          <t>KR3. Engajamento que importa</t>
        </is>
      </c>
      <c r="B8" s="8" t="inlineStr">
        <is>
          <t>(Comentários + salvamentos + compartilhamentos) ÷ alcance, média do mês</t>
        </is>
      </c>
      <c r="C8" s="9" t="n"/>
      <c r="D8" s="9" t="n"/>
      <c r="E8" s="9" t="n"/>
      <c r="F8" s="10">
        <f>IFERROR(E8/D8,"")</f>
        <v/>
      </c>
      <c r="G8" s="11" t="n"/>
    </row>
    <row r="9" ht="32" customHeight="1">
      <c r="A9" s="7" t="inlineStr">
        <is>
          <t>KR4. Newsletter viva</t>
        </is>
      </c>
      <c r="B9" s="8" t="inlineStr">
        <is>
          <t>Taxa média de cliques das newsletters do mês</t>
        </is>
      </c>
      <c r="C9" s="9" t="n"/>
      <c r="D9" s="9" t="n"/>
      <c r="E9" s="9" t="n"/>
      <c r="F9" s="10">
        <f>IFERROR(E9/D9,"")</f>
        <v/>
      </c>
      <c r="G9" s="11" t="n"/>
    </row>
    <row r="10" ht="32" customHeight="1">
      <c r="A10" s="7" t="inlineStr">
        <is>
          <t>KR5. Base reativada</t>
        </is>
      </c>
      <c r="B10" s="8" t="inlineStr">
        <is>
          <t>Contatos parados que voltaram a abrir ou clicar no mês</t>
        </is>
      </c>
      <c r="C10" s="9" t="n"/>
      <c r="D10" s="9" t="n"/>
      <c r="E10" s="9" t="n"/>
      <c r="F10" s="10">
        <f>IFERROR(E10/D10,"")</f>
        <v/>
      </c>
      <c r="G10" s="11" t="n"/>
    </row>
    <row r="12">
      <c r="A12" s="5" t="inlineStr">
        <is>
          <t>Indicador de apoio (não é meta):</t>
        </is>
      </c>
      <c r="B12" s="3" t="inlineStr">
        <is>
          <t>Seguidores novos no mês. Acompanhar, mas não perseguir: meta de seguidor puxa conteúdo que viraliza e não vende.</t>
        </is>
      </c>
    </row>
    <row r="14">
      <c r="A14" s="5" t="inlineStr">
        <is>
          <t>Regra:</t>
        </is>
      </c>
      <c r="B14" s="3" t="inlineStr">
        <is>
          <t>No 1º mês, as duas primeiras semanas viram a linha de base. A partir do 2º mês, a meta é superar a linha de base do mês anterior. Bater 70% do OKR já é bom resultado.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16" customWidth="1" min="1" max="1"/>
    <col width="16" customWidth="1" min="2" max="2"/>
    <col width="14" customWidth="1" min="3" max="3"/>
    <col width="14" customWidth="1" min="4" max="4"/>
    <col width="14" customWidth="1" min="5" max="5"/>
    <col width="22" customWidth="1" min="6" max="6"/>
    <col width="12" customWidth="1" min="7" max="7"/>
    <col width="18" customWidth="1" min="8" max="8"/>
    <col width="40" customWidth="1" min="9" max="9"/>
    <col width="14" customWidth="1" min="10" max="10"/>
    <col width="14" customWidth="1" min="11" max="11"/>
  </cols>
  <sheetData>
    <row r="1">
      <c r="A1" s="1" t="inlineStr">
        <is>
          <t>Entregas da semana (meta: 100%, sob controle dela)</t>
        </is>
      </c>
    </row>
    <row r="3">
      <c r="A3" s="6" t="inlineStr">
        <is>
          <t>Semana (início)</t>
        </is>
      </c>
      <c r="B3" s="6" t="inlineStr">
        <is>
          <t>Reels roteirizados (meta 5)</t>
        </is>
      </c>
      <c r="C3" s="6" t="inlineStr">
        <is>
          <t>Carrosséis (meta 4)</t>
        </is>
      </c>
      <c r="D3" s="6" t="inlineStr">
        <is>
          <t>Newsletter enviada (1)</t>
        </is>
      </c>
      <c r="E3" s="6" t="inlineStr">
        <is>
          <t>Captura publicada (1)</t>
        </is>
      </c>
      <c r="F3" s="6" t="inlineStr">
        <is>
          <t>Tipo de captura</t>
        </is>
      </c>
      <c r="G3" s="6" t="inlineStr">
        <is>
          <t>% entregue</t>
        </is>
      </c>
      <c r="H3" s="6" t="inlineStr">
        <is>
          <t>Pacote enviado p/ aprovação no prazo?</t>
        </is>
      </c>
      <c r="I3" s="6" t="inlineStr">
        <is>
          <t>Observação</t>
        </is>
      </c>
      <c r="J3" s="6" t="inlineStr">
        <is>
          <t>Shorts no YouTube (meta 5)</t>
        </is>
      </c>
      <c r="K3" s="6" t="inlineStr">
        <is>
          <t>Live no YouTube (1)</t>
        </is>
      </c>
    </row>
    <row r="4">
      <c r="A4" s="9" t="n"/>
      <c r="B4" s="9" t="n"/>
      <c r="C4" s="9" t="n"/>
      <c r="D4" s="9" t="n"/>
      <c r="E4" s="9" t="n"/>
      <c r="F4" s="9" t="n"/>
      <c r="G4" s="12">
        <f>IF(A4="","",(MIN(B4,5)+MIN(C4,4)+MIN(D4,1)+MIN(E4,1)+MIN(J4,5)+MIN(K4,1))/17)</f>
        <v/>
      </c>
      <c r="H4" s="9" t="n"/>
      <c r="I4" s="9" t="n"/>
      <c r="J4" s="9" t="n"/>
      <c r="K4" s="9" t="n"/>
    </row>
    <row r="5">
      <c r="A5" s="9" t="n"/>
      <c r="B5" s="9" t="n"/>
      <c r="C5" s="9" t="n"/>
      <c r="D5" s="9" t="n"/>
      <c r="E5" s="9" t="n"/>
      <c r="F5" s="9" t="n"/>
      <c r="G5" s="12">
        <f>IF(A5="","",(MIN(B5,5)+MIN(C5,4)+MIN(D5,1)+MIN(E5,1)+MIN(J5,5)+MIN(K5,1))/17)</f>
        <v/>
      </c>
      <c r="H5" s="9" t="n"/>
      <c r="I5" s="9" t="n"/>
      <c r="J5" s="9" t="n"/>
      <c r="K5" s="9" t="n"/>
    </row>
    <row r="6">
      <c r="A6" s="9" t="n"/>
      <c r="B6" s="9" t="n"/>
      <c r="C6" s="9" t="n"/>
      <c r="D6" s="9" t="n"/>
      <c r="E6" s="9" t="n"/>
      <c r="F6" s="9" t="n"/>
      <c r="G6" s="12">
        <f>IF(A6="","",(MIN(B6,5)+MIN(C6,4)+MIN(D6,1)+MIN(E6,1)+MIN(J6,5)+MIN(K6,1))/17)</f>
        <v/>
      </c>
      <c r="H6" s="9" t="n"/>
      <c r="I6" s="9" t="n"/>
      <c r="J6" s="9" t="n"/>
      <c r="K6" s="9" t="n"/>
    </row>
    <row r="7">
      <c r="A7" s="9" t="n"/>
      <c r="B7" s="9" t="n"/>
      <c r="C7" s="9" t="n"/>
      <c r="D7" s="9" t="n"/>
      <c r="E7" s="9" t="n"/>
      <c r="F7" s="9" t="n"/>
      <c r="G7" s="12">
        <f>IF(A7="","",(MIN(B7,5)+MIN(C7,4)+MIN(D7,1)+MIN(E7,1)+MIN(J7,5)+MIN(K7,1))/17)</f>
        <v/>
      </c>
      <c r="H7" s="9" t="n"/>
      <c r="I7" s="9" t="n"/>
      <c r="J7" s="9" t="n"/>
      <c r="K7" s="9" t="n"/>
    </row>
    <row r="8">
      <c r="A8" s="9" t="n"/>
      <c r="B8" s="9" t="n"/>
      <c r="C8" s="9" t="n"/>
      <c r="D8" s="9" t="n"/>
      <c r="E8" s="9" t="n"/>
      <c r="F8" s="9" t="n"/>
      <c r="G8" s="12">
        <f>IF(A8="","",(MIN(B8,5)+MIN(C8,4)+MIN(D8,1)+MIN(E8,1)+MIN(J8,5)+MIN(K8,1))/17)</f>
        <v/>
      </c>
      <c r="H8" s="9" t="n"/>
      <c r="I8" s="9" t="n"/>
      <c r="J8" s="9" t="n"/>
      <c r="K8" s="9" t="n"/>
    </row>
    <row r="9">
      <c r="A9" s="9" t="n"/>
      <c r="B9" s="9" t="n"/>
      <c r="C9" s="9" t="n"/>
      <c r="D9" s="9" t="n"/>
      <c r="E9" s="9" t="n"/>
      <c r="F9" s="9" t="n"/>
      <c r="G9" s="12">
        <f>IF(A9="","",(MIN(B9,5)+MIN(C9,4)+MIN(D9,1)+MIN(E9,1)+MIN(J9,5)+MIN(K9,1))/17)</f>
        <v/>
      </c>
      <c r="H9" s="9" t="n"/>
      <c r="I9" s="9" t="n"/>
      <c r="J9" s="9" t="n"/>
      <c r="K9" s="9" t="n"/>
    </row>
    <row r="10">
      <c r="A10" s="9" t="n"/>
      <c r="B10" s="9" t="n"/>
      <c r="C10" s="9" t="n"/>
      <c r="D10" s="9" t="n"/>
      <c r="E10" s="9" t="n"/>
      <c r="F10" s="9" t="n"/>
      <c r="G10" s="12">
        <f>IF(A10="","",(MIN(B10,5)+MIN(C10,4)+MIN(D10,1)+MIN(E10,1)+MIN(J10,5)+MIN(K10,1))/17)</f>
        <v/>
      </c>
      <c r="H10" s="9" t="n"/>
      <c r="I10" s="9" t="n"/>
      <c r="J10" s="9" t="n"/>
      <c r="K10" s="9" t="n"/>
    </row>
    <row r="11">
      <c r="A11" s="9" t="n"/>
      <c r="B11" s="9" t="n"/>
      <c r="C11" s="9" t="n"/>
      <c r="D11" s="9" t="n"/>
      <c r="E11" s="9" t="n"/>
      <c r="F11" s="9" t="n"/>
      <c r="G11" s="12">
        <f>IF(A11="","",(MIN(B11,5)+MIN(C11,4)+MIN(D11,1)+MIN(E11,1)+MIN(J11,5)+MIN(K11,1))/17)</f>
        <v/>
      </c>
      <c r="H11" s="9" t="n"/>
      <c r="I11" s="9" t="n"/>
      <c r="J11" s="9" t="n"/>
      <c r="K11" s="9" t="n"/>
    </row>
    <row r="12">
      <c r="A12" s="9" t="n"/>
      <c r="B12" s="9" t="n"/>
      <c r="C12" s="9" t="n"/>
      <c r="D12" s="9" t="n"/>
      <c r="E12" s="9" t="n"/>
      <c r="F12" s="9" t="n"/>
      <c r="G12" s="12">
        <f>IF(A12="","",(MIN(B12,5)+MIN(C12,4)+MIN(D12,1)+MIN(E12,1)+MIN(J12,5)+MIN(K12,1))/17)</f>
        <v/>
      </c>
      <c r="H12" s="9" t="n"/>
      <c r="I12" s="9" t="n"/>
      <c r="J12" s="9" t="n"/>
      <c r="K12" s="9" t="n"/>
    </row>
    <row r="13">
      <c r="A13" s="9" t="n"/>
      <c r="B13" s="9" t="n"/>
      <c r="C13" s="9" t="n"/>
      <c r="D13" s="9" t="n"/>
      <c r="E13" s="9" t="n"/>
      <c r="F13" s="9" t="n"/>
      <c r="G13" s="12">
        <f>IF(A13="","",(MIN(B13,5)+MIN(C13,4)+MIN(D13,1)+MIN(E13,1)+MIN(J13,5)+MIN(K13,1))/17)</f>
        <v/>
      </c>
      <c r="H13" s="9" t="n"/>
      <c r="I13" s="9" t="n"/>
      <c r="J13" s="9" t="n"/>
      <c r="K13" s="9" t="n"/>
    </row>
    <row r="14">
      <c r="A14" s="9" t="n"/>
      <c r="B14" s="9" t="n"/>
      <c r="C14" s="9" t="n"/>
      <c r="D14" s="9" t="n"/>
      <c r="E14" s="9" t="n"/>
      <c r="F14" s="9" t="n"/>
      <c r="G14" s="12">
        <f>IF(A14="","",(MIN(B14,5)+MIN(C14,4)+MIN(D14,1)+MIN(E14,1)+MIN(J14,5)+MIN(K14,1))/17)</f>
        <v/>
      </c>
      <c r="H14" s="9" t="n"/>
      <c r="I14" s="9" t="n"/>
      <c r="J14" s="9" t="n"/>
      <c r="K14" s="9" t="n"/>
    </row>
    <row r="15">
      <c r="A15" s="9" t="n"/>
      <c r="B15" s="9" t="n"/>
      <c r="C15" s="9" t="n"/>
      <c r="D15" s="9" t="n"/>
      <c r="E15" s="9" t="n"/>
      <c r="F15" s="9" t="n"/>
      <c r="G15" s="12">
        <f>IF(A15="","",(MIN(B15,5)+MIN(C15,4)+MIN(D15,1)+MIN(E15,1)+MIN(J15,5)+MIN(K15,1))/17)</f>
        <v/>
      </c>
      <c r="H15" s="9" t="n"/>
      <c r="I15" s="9" t="n"/>
      <c r="J15" s="9" t="n"/>
      <c r="K15" s="9" t="n"/>
    </row>
    <row r="16">
      <c r="A16" s="9" t="n"/>
      <c r="B16" s="9" t="n"/>
      <c r="C16" s="9" t="n"/>
      <c r="D16" s="9" t="n"/>
      <c r="E16" s="9" t="n"/>
      <c r="F16" s="9" t="n"/>
      <c r="G16" s="12">
        <f>IF(A16="","",(MIN(B16,5)+MIN(C16,4)+MIN(D16,1)+MIN(E16,1)+MIN(J16,5)+MIN(K16,1))/17)</f>
        <v/>
      </c>
      <c r="H16" s="9" t="n"/>
      <c r="I16" s="9" t="n"/>
      <c r="J16" s="9" t="n"/>
      <c r="K16" s="9" t="n"/>
    </row>
  </sheetData>
  <dataValidations count="2">
    <dataValidation sqref="F4 F5 F6 F7 F8 F9 F10 F11 F12 F13 F14 F15 F16" showDropDown="0" showInputMessage="0" showErrorMessage="0" allowBlank="0" type="list">
      <formula1>"Fica na DM,DM para e-mail,Convite newsletter"</formula1>
    </dataValidation>
    <dataValidation sqref="H4 H5 H6 H7 H8 H9 H10 H11 H12 H13 H14 H15 H16" showDropDown="0" showInputMessage="0" showErrorMessage="0" allowBlank="0" type="list">
      <formula1>"Sim,Não"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4"/>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1" customWidth="1" min="3" max="3"/>
    <col width="13" customWidth="1" min="4" max="4"/>
    <col width="22" customWidth="1" min="5" max="5"/>
    <col width="40" customWidth="1" min="6" max="6"/>
    <col width="18" customWidth="1" min="7" max="7"/>
    <col width="10" customWidth="1" min="8" max="8"/>
    <col width="10" customWidth="1" min="9" max="9"/>
    <col width="9" customWidth="1" min="10" max="10"/>
    <col width="10" customWidth="1" min="11" max="11"/>
    <col width="11" customWidth="1" min="12" max="12"/>
    <col width="10" customWidth="1" min="13" max="13"/>
    <col width="10" customWidth="1" min="14" max="14"/>
    <col width="12" customWidth="1" min="15" max="15"/>
    <col width="10" customWidth="1" min="16" max="16"/>
    <col width="13" customWidth="1" min="17" max="17"/>
    <col width="11" customWidth="1" min="18" max="18"/>
    <col width="9" customWidth="1" min="19" max="19"/>
    <col width="10" customWidth="1" min="20" max="20"/>
    <col width="12" customWidth="1" min="21" max="21"/>
    <col width="12" customWidth="1" min="22" max="22"/>
    <col width="34" customWidth="1" min="23" max="23"/>
    <col width="28" customWidth="1" min="24" max="24"/>
  </cols>
  <sheetData>
    <row r="1">
      <c r="A1" s="1" t="inlineStr">
        <is>
          <t>Placar por peça: gancho, retenção e conversão</t>
        </is>
      </c>
    </row>
    <row r="2">
      <c r="A2" t="inlineStr">
        <is>
          <t>Laranja: ela preenche (Insights do Instagram, 7 dias após publicar). Azul: calcula sozinho.</t>
        </is>
      </c>
      <c r="X2" t="inlineStr">
        <is>
          <t>Linha de base de retenção %:</t>
        </is>
      </c>
      <c r="Y2" s="13" t="n"/>
    </row>
    <row r="3">
      <c r="X3" t="inlineStr">
        <is>
          <t>Linha de base de conversão %:</t>
        </is>
      </c>
      <c r="Y3" s="14" t="n"/>
    </row>
    <row r="4" ht="60" customHeight="1">
      <c r="A4" s="6" t="inlineStr">
        <is>
          <t>Semana</t>
        </is>
      </c>
      <c r="B4" s="6" t="inlineStr">
        <is>
          <t>Data</t>
        </is>
      </c>
      <c r="C4" s="6" t="inlineStr">
        <is>
          <t>Tipo</t>
        </is>
      </c>
      <c r="D4" s="6" t="inlineStr">
        <is>
          <t>Quem aparece</t>
        </is>
      </c>
      <c r="E4" s="6" t="inlineStr">
        <is>
          <t>Tema</t>
        </is>
      </c>
      <c r="F4" s="6" t="inlineStr">
        <is>
          <t>Gancho (o que é dito/escrito nos 3 primeiros segundos)</t>
        </is>
      </c>
      <c r="G4" s="6" t="inlineStr">
        <is>
          <t>Link</t>
        </is>
      </c>
      <c r="H4" s="6" t="inlineStr">
        <is>
          <t>Alcance</t>
        </is>
      </c>
      <c r="I4" s="6" t="inlineStr">
        <is>
          <t>Taxa de pulos % (reels)</t>
        </is>
      </c>
      <c r="J4" s="6" t="inlineStr">
        <is>
          <t>Duração (s)</t>
        </is>
      </c>
      <c r="K4" s="6" t="inlineStr">
        <is>
          <t>Tempo médio assistido (s)</t>
        </is>
      </c>
      <c r="L4" s="6" t="inlineStr">
        <is>
          <t>RETENÇÃO %</t>
        </is>
      </c>
      <c r="M4" s="6" t="inlineStr">
        <is>
          <t>Comentários</t>
        </is>
      </c>
      <c r="N4" s="6" t="inlineStr">
        <is>
          <t>Salvamentos</t>
        </is>
      </c>
      <c r="O4" s="6" t="inlineStr">
        <is>
          <t>Compartilhamentos</t>
        </is>
      </c>
      <c r="P4" s="6" t="inlineStr">
        <is>
          <t>Seguidores ganhos</t>
        </is>
      </c>
      <c r="Q4" s="6" t="inlineStr">
        <is>
          <t>CONVERSÃO % (engajamento ÷ alcance)</t>
        </is>
      </c>
      <c r="R4" s="6" t="inlineStr">
        <is>
          <t>Imagens reais? (Sim/Não)</t>
        </is>
      </c>
      <c r="S4" s="6" t="inlineStr">
        <is>
          <t>É captura?</t>
        </is>
      </c>
      <c r="T4" s="6" t="inlineStr">
        <is>
          <t>E-mails gerados</t>
        </is>
      </c>
      <c r="U4" s="6" t="inlineStr">
        <is>
          <t>CAPTURA % (e-mails ÷ comentários)</t>
        </is>
      </c>
      <c r="V4" s="6" t="inlineStr">
        <is>
          <t>Acima da linha de base?</t>
        </is>
      </c>
      <c r="W4" s="6" t="inlineStr">
        <is>
          <t>O que aprendi</t>
        </is>
      </c>
    </row>
    <row r="5">
      <c r="A5" s="9" t="n"/>
      <c r="B5" s="9" t="n"/>
      <c r="C5" s="9" t="n"/>
      <c r="D5" s="9" t="n"/>
      <c r="E5" s="9" t="n"/>
      <c r="F5" s="9" t="n"/>
      <c r="G5" s="9" t="n"/>
      <c r="H5" s="9" t="n"/>
      <c r="I5" s="9" t="n"/>
      <c r="J5" s="9" t="n"/>
      <c r="K5" s="9" t="n"/>
      <c r="L5" s="12">
        <f>IFERROR(K5/J5,"")</f>
        <v/>
      </c>
      <c r="M5" s="9" t="n"/>
      <c r="N5" s="9" t="n"/>
      <c r="O5" s="9" t="n"/>
      <c r="P5" s="9" t="n"/>
      <c r="Q5" s="15">
        <f>IFERROR((M5+N5+O5)/H5,"")</f>
        <v/>
      </c>
      <c r="R5" s="9" t="n"/>
      <c r="S5" s="9" t="n"/>
      <c r="T5" s="9" t="n"/>
      <c r="U5" s="12">
        <f>IF(S5="Sim",IFERROR(T5/M5,""),"")</f>
        <v/>
      </c>
      <c r="V5" s="16">
        <f>IF(OR(H5="",$Y$3=""),"",IF(AND(OR(C5&lt;&gt;"Reel",L5&gt;=$Y$2),Q5&gt;=$Y$3),"Sim","Não"))</f>
        <v/>
      </c>
      <c r="W5" s="9" t="n"/>
    </row>
    <row r="6">
      <c r="A6" s="9" t="n"/>
      <c r="B6" s="9" t="n"/>
      <c r="C6" s="9" t="n"/>
      <c r="D6" s="9" t="n"/>
      <c r="E6" s="9" t="n"/>
      <c r="F6" s="9" t="n"/>
      <c r="G6" s="9" t="n"/>
      <c r="H6" s="9" t="n"/>
      <c r="I6" s="9" t="n"/>
      <c r="J6" s="9" t="n"/>
      <c r="K6" s="9" t="n"/>
      <c r="L6" s="12">
        <f>IFERROR(K6/J6,"")</f>
        <v/>
      </c>
      <c r="M6" s="9" t="n"/>
      <c r="N6" s="9" t="n"/>
      <c r="O6" s="9" t="n"/>
      <c r="P6" s="9" t="n"/>
      <c r="Q6" s="15">
        <f>IFERROR((M6+N6+O6)/H6,"")</f>
        <v/>
      </c>
      <c r="R6" s="9" t="n"/>
      <c r="S6" s="9" t="n"/>
      <c r="T6" s="9" t="n"/>
      <c r="U6" s="12">
        <f>IF(S6="Sim",IFERROR(T6/M6,""),"")</f>
        <v/>
      </c>
      <c r="V6" s="16">
        <f>IF(OR(H6="",$Y$3=""),"",IF(AND(OR(C6&lt;&gt;"Reel",L6&gt;=$Y$2),Q6&gt;=$Y$3),"Sim","Não"))</f>
        <v/>
      </c>
      <c r="W6" s="9" t="n"/>
    </row>
    <row r="7">
      <c r="A7" s="9" t="n"/>
      <c r="B7" s="9" t="n"/>
      <c r="C7" s="9" t="n"/>
      <c r="D7" s="9" t="n"/>
      <c r="E7" s="9" t="n"/>
      <c r="F7" s="9" t="n"/>
      <c r="G7" s="9" t="n"/>
      <c r="H7" s="9" t="n"/>
      <c r="I7" s="9" t="n"/>
      <c r="J7" s="9" t="n"/>
      <c r="K7" s="9" t="n"/>
      <c r="L7" s="12">
        <f>IFERROR(K7/J7,"")</f>
        <v/>
      </c>
      <c r="M7" s="9" t="n"/>
      <c r="N7" s="9" t="n"/>
      <c r="O7" s="9" t="n"/>
      <c r="P7" s="9" t="n"/>
      <c r="Q7" s="15">
        <f>IFERROR((M7+N7+O7)/H7,"")</f>
        <v/>
      </c>
      <c r="R7" s="9" t="n"/>
      <c r="S7" s="9" t="n"/>
      <c r="T7" s="9" t="n"/>
      <c r="U7" s="12">
        <f>IF(S7="Sim",IFERROR(T7/M7,""),"")</f>
        <v/>
      </c>
      <c r="V7" s="16">
        <f>IF(OR(H7="",$Y$3=""),"",IF(AND(OR(C7&lt;&gt;"Reel",L7&gt;=$Y$2),Q7&gt;=$Y$3),"Sim","Não"))</f>
        <v/>
      </c>
      <c r="W7" s="9" t="n"/>
    </row>
    <row r="8">
      <c r="A8" s="9" t="n"/>
      <c r="B8" s="9" t="n"/>
      <c r="C8" s="9" t="n"/>
      <c r="D8" s="9" t="n"/>
      <c r="E8" s="9" t="n"/>
      <c r="F8" s="9" t="n"/>
      <c r="G8" s="9" t="n"/>
      <c r="H8" s="9" t="n"/>
      <c r="I8" s="9" t="n"/>
      <c r="J8" s="9" t="n"/>
      <c r="K8" s="9" t="n"/>
      <c r="L8" s="12">
        <f>IFERROR(K8/J8,"")</f>
        <v/>
      </c>
      <c r="M8" s="9" t="n"/>
      <c r="N8" s="9" t="n"/>
      <c r="O8" s="9" t="n"/>
      <c r="P8" s="9" t="n"/>
      <c r="Q8" s="15">
        <f>IFERROR((M8+N8+O8)/H8,"")</f>
        <v/>
      </c>
      <c r="R8" s="9" t="n"/>
      <c r="S8" s="9" t="n"/>
      <c r="T8" s="9" t="n"/>
      <c r="U8" s="12">
        <f>IF(S8="Sim",IFERROR(T8/M8,""),"")</f>
        <v/>
      </c>
      <c r="V8" s="16">
        <f>IF(OR(H8="",$Y$3=""),"",IF(AND(OR(C8&lt;&gt;"Reel",L8&gt;=$Y$2),Q8&gt;=$Y$3),"Sim","Não"))</f>
        <v/>
      </c>
      <c r="W8" s="9" t="n"/>
    </row>
    <row r="9">
      <c r="A9" s="9" t="n"/>
      <c r="B9" s="9" t="n"/>
      <c r="C9" s="9" t="n"/>
      <c r="D9" s="9" t="n"/>
      <c r="E9" s="9" t="n"/>
      <c r="F9" s="9" t="n"/>
      <c r="G9" s="9" t="n"/>
      <c r="H9" s="9" t="n"/>
      <c r="I9" s="9" t="n"/>
      <c r="J9" s="9" t="n"/>
      <c r="K9" s="9" t="n"/>
      <c r="L9" s="12">
        <f>IFERROR(K9/J9,"")</f>
        <v/>
      </c>
      <c r="M9" s="9" t="n"/>
      <c r="N9" s="9" t="n"/>
      <c r="O9" s="9" t="n"/>
      <c r="P9" s="9" t="n"/>
      <c r="Q9" s="15">
        <f>IFERROR((M9+N9+O9)/H9,"")</f>
        <v/>
      </c>
      <c r="R9" s="9" t="n"/>
      <c r="S9" s="9" t="n"/>
      <c r="T9" s="9" t="n"/>
      <c r="U9" s="12">
        <f>IF(S9="Sim",IFERROR(T9/M9,""),"")</f>
        <v/>
      </c>
      <c r="V9" s="16">
        <f>IF(OR(H9="",$Y$3=""),"",IF(AND(OR(C9&lt;&gt;"Reel",L9&gt;=$Y$2),Q9&gt;=$Y$3),"Sim","Não"))</f>
        <v/>
      </c>
      <c r="W9" s="9" t="n"/>
    </row>
    <row r="10">
      <c r="A10" s="9" t="n"/>
      <c r="B10" s="9" t="n"/>
      <c r="C10" s="9" t="n"/>
      <c r="D10" s="9" t="n"/>
      <c r="E10" s="9" t="n"/>
      <c r="F10" s="9" t="n"/>
      <c r="G10" s="9" t="n"/>
      <c r="H10" s="9" t="n"/>
      <c r="I10" s="9" t="n"/>
      <c r="J10" s="9" t="n"/>
      <c r="K10" s="9" t="n"/>
      <c r="L10" s="12">
        <f>IFERROR(K10/J10,"")</f>
        <v/>
      </c>
      <c r="M10" s="9" t="n"/>
      <c r="N10" s="9" t="n"/>
      <c r="O10" s="9" t="n"/>
      <c r="P10" s="9" t="n"/>
      <c r="Q10" s="15">
        <f>IFERROR((M10+N10+O10)/H10,"")</f>
        <v/>
      </c>
      <c r="R10" s="9" t="n"/>
      <c r="S10" s="9" t="n"/>
      <c r="T10" s="9" t="n"/>
      <c r="U10" s="12">
        <f>IF(S10="Sim",IFERROR(T10/M10,""),"")</f>
        <v/>
      </c>
      <c r="V10" s="16">
        <f>IF(OR(H10="",$Y$3=""),"",IF(AND(OR(C10&lt;&gt;"Reel",L10&gt;=$Y$2),Q10&gt;=$Y$3),"Sim","Não"))</f>
        <v/>
      </c>
      <c r="W10" s="9" t="n"/>
    </row>
    <row r="11">
      <c r="A11" s="9" t="n"/>
      <c r="B11" s="9" t="n"/>
      <c r="C11" s="9" t="n"/>
      <c r="D11" s="9" t="n"/>
      <c r="E11" s="9" t="n"/>
      <c r="F11" s="9" t="n"/>
      <c r="G11" s="9" t="n"/>
      <c r="H11" s="9" t="n"/>
      <c r="I11" s="9" t="n"/>
      <c r="J11" s="9" t="n"/>
      <c r="K11" s="9" t="n"/>
      <c r="L11" s="12">
        <f>IFERROR(K11/J11,"")</f>
        <v/>
      </c>
      <c r="M11" s="9" t="n"/>
      <c r="N11" s="9" t="n"/>
      <c r="O11" s="9" t="n"/>
      <c r="P11" s="9" t="n"/>
      <c r="Q11" s="15">
        <f>IFERROR((M11+N11+O11)/H11,"")</f>
        <v/>
      </c>
      <c r="R11" s="9" t="n"/>
      <c r="S11" s="9" t="n"/>
      <c r="T11" s="9" t="n"/>
      <c r="U11" s="12">
        <f>IF(S11="Sim",IFERROR(T11/M11,""),"")</f>
        <v/>
      </c>
      <c r="V11" s="16">
        <f>IF(OR(H11="",$Y$3=""),"",IF(AND(OR(C11&lt;&gt;"Reel",L11&gt;=$Y$2),Q11&gt;=$Y$3),"Sim","Não"))</f>
        <v/>
      </c>
      <c r="W11" s="9" t="n"/>
    </row>
    <row r="12">
      <c r="A12" s="9" t="n"/>
      <c r="B12" s="9" t="n"/>
      <c r="C12" s="9" t="n"/>
      <c r="D12" s="9" t="n"/>
      <c r="E12" s="9" t="n"/>
      <c r="F12" s="9" t="n"/>
      <c r="G12" s="9" t="n"/>
      <c r="H12" s="9" t="n"/>
      <c r="I12" s="9" t="n"/>
      <c r="J12" s="9" t="n"/>
      <c r="K12" s="9" t="n"/>
      <c r="L12" s="12">
        <f>IFERROR(K12/J12,"")</f>
        <v/>
      </c>
      <c r="M12" s="9" t="n"/>
      <c r="N12" s="9" t="n"/>
      <c r="O12" s="9" t="n"/>
      <c r="P12" s="9" t="n"/>
      <c r="Q12" s="15">
        <f>IFERROR((M12+N12+O12)/H12,"")</f>
        <v/>
      </c>
      <c r="R12" s="9" t="n"/>
      <c r="S12" s="9" t="n"/>
      <c r="T12" s="9" t="n"/>
      <c r="U12" s="12">
        <f>IF(S12="Sim",IFERROR(T12/M12,""),"")</f>
        <v/>
      </c>
      <c r="V12" s="16">
        <f>IF(OR(H12="",$Y$3=""),"",IF(AND(OR(C12&lt;&gt;"Reel",L12&gt;=$Y$2),Q12&gt;=$Y$3),"Sim","Não"))</f>
        <v/>
      </c>
      <c r="W12" s="9" t="n"/>
    </row>
    <row r="13">
      <c r="A13" s="9" t="n"/>
      <c r="B13" s="9" t="n"/>
      <c r="C13" s="9" t="n"/>
      <c r="D13" s="9" t="n"/>
      <c r="E13" s="9" t="n"/>
      <c r="F13" s="9" t="n"/>
      <c r="G13" s="9" t="n"/>
      <c r="H13" s="9" t="n"/>
      <c r="I13" s="9" t="n"/>
      <c r="J13" s="9" t="n"/>
      <c r="K13" s="9" t="n"/>
      <c r="L13" s="12">
        <f>IFERROR(K13/J13,"")</f>
        <v/>
      </c>
      <c r="M13" s="9" t="n"/>
      <c r="N13" s="9" t="n"/>
      <c r="O13" s="9" t="n"/>
      <c r="P13" s="9" t="n"/>
      <c r="Q13" s="15">
        <f>IFERROR((M13+N13+O13)/H13,"")</f>
        <v/>
      </c>
      <c r="R13" s="9" t="n"/>
      <c r="S13" s="9" t="n"/>
      <c r="T13" s="9" t="n"/>
      <c r="U13" s="12">
        <f>IF(S13="Sim",IFERROR(T13/M13,""),"")</f>
        <v/>
      </c>
      <c r="V13" s="16">
        <f>IF(OR(H13="",$Y$3=""),"",IF(AND(OR(C13&lt;&gt;"Reel",L13&gt;=$Y$2),Q13&gt;=$Y$3),"Sim","Não"))</f>
        <v/>
      </c>
      <c r="W13" s="9" t="n"/>
    </row>
    <row r="14">
      <c r="A14" s="9" t="n"/>
      <c r="B14" s="9" t="n"/>
      <c r="C14" s="9" t="n"/>
      <c r="D14" s="9" t="n"/>
      <c r="E14" s="9" t="n"/>
      <c r="F14" s="9" t="n"/>
      <c r="G14" s="9" t="n"/>
      <c r="H14" s="9" t="n"/>
      <c r="I14" s="9" t="n"/>
      <c r="J14" s="9" t="n"/>
      <c r="K14" s="9" t="n"/>
      <c r="L14" s="12">
        <f>IFERROR(K14/J14,"")</f>
        <v/>
      </c>
      <c r="M14" s="9" t="n"/>
      <c r="N14" s="9" t="n"/>
      <c r="O14" s="9" t="n"/>
      <c r="P14" s="9" t="n"/>
      <c r="Q14" s="15">
        <f>IFERROR((M14+N14+O14)/H14,"")</f>
        <v/>
      </c>
      <c r="R14" s="9" t="n"/>
      <c r="S14" s="9" t="n"/>
      <c r="T14" s="9" t="n"/>
      <c r="U14" s="12">
        <f>IF(S14="Sim",IFERROR(T14/M14,""),"")</f>
        <v/>
      </c>
      <c r="V14" s="16">
        <f>IF(OR(H14="",$Y$3=""),"",IF(AND(OR(C14&lt;&gt;"Reel",L14&gt;=$Y$2),Q14&gt;=$Y$3),"Sim","Não"))</f>
        <v/>
      </c>
      <c r="W14" s="9" t="n"/>
    </row>
    <row r="15">
      <c r="A15" s="9" t="n"/>
      <c r="B15" s="9" t="n"/>
      <c r="C15" s="9" t="n"/>
      <c r="D15" s="9" t="n"/>
      <c r="E15" s="9" t="n"/>
      <c r="F15" s="9" t="n"/>
      <c r="G15" s="9" t="n"/>
      <c r="H15" s="9" t="n"/>
      <c r="I15" s="9" t="n"/>
      <c r="J15" s="9" t="n"/>
      <c r="K15" s="9" t="n"/>
      <c r="L15" s="12">
        <f>IFERROR(K15/J15,"")</f>
        <v/>
      </c>
      <c r="M15" s="9" t="n"/>
      <c r="N15" s="9" t="n"/>
      <c r="O15" s="9" t="n"/>
      <c r="P15" s="9" t="n"/>
      <c r="Q15" s="15">
        <f>IFERROR((M15+N15+O15)/H15,"")</f>
        <v/>
      </c>
      <c r="R15" s="9" t="n"/>
      <c r="S15" s="9" t="n"/>
      <c r="T15" s="9" t="n"/>
      <c r="U15" s="12">
        <f>IF(S15="Sim",IFERROR(T15/M15,""),"")</f>
        <v/>
      </c>
      <c r="V15" s="16">
        <f>IF(OR(H15="",$Y$3=""),"",IF(AND(OR(C15&lt;&gt;"Reel",L15&gt;=$Y$2),Q15&gt;=$Y$3),"Sim","Não"))</f>
        <v/>
      </c>
      <c r="W15" s="9" t="n"/>
    </row>
    <row r="16">
      <c r="A16" s="9" t="n"/>
      <c r="B16" s="9" t="n"/>
      <c r="C16" s="9" t="n"/>
      <c r="D16" s="9" t="n"/>
      <c r="E16" s="9" t="n"/>
      <c r="F16" s="9" t="n"/>
      <c r="G16" s="9" t="n"/>
      <c r="H16" s="9" t="n"/>
      <c r="I16" s="9" t="n"/>
      <c r="J16" s="9" t="n"/>
      <c r="K16" s="9" t="n"/>
      <c r="L16" s="12">
        <f>IFERROR(K16/J16,"")</f>
        <v/>
      </c>
      <c r="M16" s="9" t="n"/>
      <c r="N16" s="9" t="n"/>
      <c r="O16" s="9" t="n"/>
      <c r="P16" s="9" t="n"/>
      <c r="Q16" s="15">
        <f>IFERROR((M16+N16+O16)/H16,"")</f>
        <v/>
      </c>
      <c r="R16" s="9" t="n"/>
      <c r="S16" s="9" t="n"/>
      <c r="T16" s="9" t="n"/>
      <c r="U16" s="12">
        <f>IF(S16="Sim",IFERROR(T16/M16,""),"")</f>
        <v/>
      </c>
      <c r="V16" s="16">
        <f>IF(OR(H16="",$Y$3=""),"",IF(AND(OR(C16&lt;&gt;"Reel",L16&gt;=$Y$2),Q16&gt;=$Y$3),"Sim","Não"))</f>
        <v/>
      </c>
      <c r="W16" s="9" t="n"/>
    </row>
    <row r="17">
      <c r="A17" s="9" t="n"/>
      <c r="B17" s="9" t="n"/>
      <c r="C17" s="9" t="n"/>
      <c r="D17" s="9" t="n"/>
      <c r="E17" s="9" t="n"/>
      <c r="F17" s="9" t="n"/>
      <c r="G17" s="9" t="n"/>
      <c r="H17" s="9" t="n"/>
      <c r="I17" s="9" t="n"/>
      <c r="J17" s="9" t="n"/>
      <c r="K17" s="9" t="n"/>
      <c r="L17" s="12">
        <f>IFERROR(K17/J17,"")</f>
        <v/>
      </c>
      <c r="M17" s="9" t="n"/>
      <c r="N17" s="9" t="n"/>
      <c r="O17" s="9" t="n"/>
      <c r="P17" s="9" t="n"/>
      <c r="Q17" s="15">
        <f>IFERROR((M17+N17+O17)/H17,"")</f>
        <v/>
      </c>
      <c r="R17" s="9" t="n"/>
      <c r="S17" s="9" t="n"/>
      <c r="T17" s="9" t="n"/>
      <c r="U17" s="12">
        <f>IF(S17="Sim",IFERROR(T17/M17,""),"")</f>
        <v/>
      </c>
      <c r="V17" s="16">
        <f>IF(OR(H17="",$Y$3=""),"",IF(AND(OR(C17&lt;&gt;"Reel",L17&gt;=$Y$2),Q17&gt;=$Y$3),"Sim","Não"))</f>
        <v/>
      </c>
      <c r="W17" s="9" t="n"/>
    </row>
    <row r="18">
      <c r="A18" s="9" t="n"/>
      <c r="B18" s="9" t="n"/>
      <c r="C18" s="9" t="n"/>
      <c r="D18" s="9" t="n"/>
      <c r="E18" s="9" t="n"/>
      <c r="F18" s="9" t="n"/>
      <c r="G18" s="9" t="n"/>
      <c r="H18" s="9" t="n"/>
      <c r="I18" s="9" t="n"/>
      <c r="J18" s="9" t="n"/>
      <c r="K18" s="9" t="n"/>
      <c r="L18" s="12">
        <f>IFERROR(K18/J18,"")</f>
        <v/>
      </c>
      <c r="M18" s="9" t="n"/>
      <c r="N18" s="9" t="n"/>
      <c r="O18" s="9" t="n"/>
      <c r="P18" s="9" t="n"/>
      <c r="Q18" s="15">
        <f>IFERROR((M18+N18+O18)/H18,"")</f>
        <v/>
      </c>
      <c r="R18" s="9" t="n"/>
      <c r="S18" s="9" t="n"/>
      <c r="T18" s="9" t="n"/>
      <c r="U18" s="12">
        <f>IF(S18="Sim",IFERROR(T18/M18,""),"")</f>
        <v/>
      </c>
      <c r="V18" s="16">
        <f>IF(OR(H18="",$Y$3=""),"",IF(AND(OR(C18&lt;&gt;"Reel",L18&gt;=$Y$2),Q18&gt;=$Y$3),"Sim","Não"))</f>
        <v/>
      </c>
      <c r="W18" s="9" t="n"/>
    </row>
    <row r="19">
      <c r="A19" s="9" t="n"/>
      <c r="B19" s="9" t="n"/>
      <c r="C19" s="9" t="n"/>
      <c r="D19" s="9" t="n"/>
      <c r="E19" s="9" t="n"/>
      <c r="F19" s="9" t="n"/>
      <c r="G19" s="9" t="n"/>
      <c r="H19" s="9" t="n"/>
      <c r="I19" s="9" t="n"/>
      <c r="J19" s="9" t="n"/>
      <c r="K19" s="9" t="n"/>
      <c r="L19" s="12">
        <f>IFERROR(K19/J19,"")</f>
        <v/>
      </c>
      <c r="M19" s="9" t="n"/>
      <c r="N19" s="9" t="n"/>
      <c r="O19" s="9" t="n"/>
      <c r="P19" s="9" t="n"/>
      <c r="Q19" s="15">
        <f>IFERROR((M19+N19+O19)/H19,"")</f>
        <v/>
      </c>
      <c r="R19" s="9" t="n"/>
      <c r="S19" s="9" t="n"/>
      <c r="T19" s="9" t="n"/>
      <c r="U19" s="12">
        <f>IF(S19="Sim",IFERROR(T19/M19,""),"")</f>
        <v/>
      </c>
      <c r="V19" s="16">
        <f>IF(OR(H19="",$Y$3=""),"",IF(AND(OR(C19&lt;&gt;"Reel",L19&gt;=$Y$2),Q19&gt;=$Y$3),"Sim","Não"))</f>
        <v/>
      </c>
      <c r="W19" s="9" t="n"/>
    </row>
    <row r="20">
      <c r="A20" s="9" t="n"/>
      <c r="B20" s="9" t="n"/>
      <c r="C20" s="9" t="n"/>
      <c r="D20" s="9" t="n"/>
      <c r="E20" s="9" t="n"/>
      <c r="F20" s="9" t="n"/>
      <c r="G20" s="9" t="n"/>
      <c r="H20" s="9" t="n"/>
      <c r="I20" s="9" t="n"/>
      <c r="J20" s="9" t="n"/>
      <c r="K20" s="9" t="n"/>
      <c r="L20" s="12">
        <f>IFERROR(K20/J20,"")</f>
        <v/>
      </c>
      <c r="M20" s="9" t="n"/>
      <c r="N20" s="9" t="n"/>
      <c r="O20" s="9" t="n"/>
      <c r="P20" s="9" t="n"/>
      <c r="Q20" s="15">
        <f>IFERROR((M20+N20+O20)/H20,"")</f>
        <v/>
      </c>
      <c r="R20" s="9" t="n"/>
      <c r="S20" s="9" t="n"/>
      <c r="T20" s="9" t="n"/>
      <c r="U20" s="12">
        <f>IF(S20="Sim",IFERROR(T20/M20,""),"")</f>
        <v/>
      </c>
      <c r="V20" s="16">
        <f>IF(OR(H20="",$Y$3=""),"",IF(AND(OR(C20&lt;&gt;"Reel",L20&gt;=$Y$2),Q20&gt;=$Y$3),"Sim","Não"))</f>
        <v/>
      </c>
      <c r="W20" s="9" t="n"/>
    </row>
    <row r="21">
      <c r="A21" s="9" t="n"/>
      <c r="B21" s="9" t="n"/>
      <c r="C21" s="9" t="n"/>
      <c r="D21" s="9" t="n"/>
      <c r="E21" s="9" t="n"/>
      <c r="F21" s="9" t="n"/>
      <c r="G21" s="9" t="n"/>
      <c r="H21" s="9" t="n"/>
      <c r="I21" s="9" t="n"/>
      <c r="J21" s="9" t="n"/>
      <c r="K21" s="9" t="n"/>
      <c r="L21" s="12">
        <f>IFERROR(K21/J21,"")</f>
        <v/>
      </c>
      <c r="M21" s="9" t="n"/>
      <c r="N21" s="9" t="n"/>
      <c r="O21" s="9" t="n"/>
      <c r="P21" s="9" t="n"/>
      <c r="Q21" s="15">
        <f>IFERROR((M21+N21+O21)/H21,"")</f>
        <v/>
      </c>
      <c r="R21" s="9" t="n"/>
      <c r="S21" s="9" t="n"/>
      <c r="T21" s="9" t="n"/>
      <c r="U21" s="12">
        <f>IF(S21="Sim",IFERROR(T21/M21,""),"")</f>
        <v/>
      </c>
      <c r="V21" s="16">
        <f>IF(OR(H21="",$Y$3=""),"",IF(AND(OR(C21&lt;&gt;"Reel",L21&gt;=$Y$2),Q21&gt;=$Y$3),"Sim","Não"))</f>
        <v/>
      </c>
      <c r="W21" s="9" t="n"/>
    </row>
    <row r="22">
      <c r="A22" s="9" t="n"/>
      <c r="B22" s="9" t="n"/>
      <c r="C22" s="9" t="n"/>
      <c r="D22" s="9" t="n"/>
      <c r="E22" s="9" t="n"/>
      <c r="F22" s="9" t="n"/>
      <c r="G22" s="9" t="n"/>
      <c r="H22" s="9" t="n"/>
      <c r="I22" s="9" t="n"/>
      <c r="J22" s="9" t="n"/>
      <c r="K22" s="9" t="n"/>
      <c r="L22" s="12">
        <f>IFERROR(K22/J22,"")</f>
        <v/>
      </c>
      <c r="M22" s="9" t="n"/>
      <c r="N22" s="9" t="n"/>
      <c r="O22" s="9" t="n"/>
      <c r="P22" s="9" t="n"/>
      <c r="Q22" s="15">
        <f>IFERROR((M22+N22+O22)/H22,"")</f>
        <v/>
      </c>
      <c r="R22" s="9" t="n"/>
      <c r="S22" s="9" t="n"/>
      <c r="T22" s="9" t="n"/>
      <c r="U22" s="12">
        <f>IF(S22="Sim",IFERROR(T22/M22,""),"")</f>
        <v/>
      </c>
      <c r="V22" s="16">
        <f>IF(OR(H22="",$Y$3=""),"",IF(AND(OR(C22&lt;&gt;"Reel",L22&gt;=$Y$2),Q22&gt;=$Y$3),"Sim","Não"))</f>
        <v/>
      </c>
      <c r="W22" s="9" t="n"/>
    </row>
    <row r="23">
      <c r="A23" s="9" t="n"/>
      <c r="B23" s="9" t="n"/>
      <c r="C23" s="9" t="n"/>
      <c r="D23" s="9" t="n"/>
      <c r="E23" s="9" t="n"/>
      <c r="F23" s="9" t="n"/>
      <c r="G23" s="9" t="n"/>
      <c r="H23" s="9" t="n"/>
      <c r="I23" s="9" t="n"/>
      <c r="J23" s="9" t="n"/>
      <c r="K23" s="9" t="n"/>
      <c r="L23" s="12">
        <f>IFERROR(K23/J23,"")</f>
        <v/>
      </c>
      <c r="M23" s="9" t="n"/>
      <c r="N23" s="9" t="n"/>
      <c r="O23" s="9" t="n"/>
      <c r="P23" s="9" t="n"/>
      <c r="Q23" s="15">
        <f>IFERROR((M23+N23+O23)/H23,"")</f>
        <v/>
      </c>
      <c r="R23" s="9" t="n"/>
      <c r="S23" s="9" t="n"/>
      <c r="T23" s="9" t="n"/>
      <c r="U23" s="12">
        <f>IF(S23="Sim",IFERROR(T23/M23,""),"")</f>
        <v/>
      </c>
      <c r="V23" s="16">
        <f>IF(OR(H23="",$Y$3=""),"",IF(AND(OR(C23&lt;&gt;"Reel",L23&gt;=$Y$2),Q23&gt;=$Y$3),"Sim","Não"))</f>
        <v/>
      </c>
      <c r="W23" s="9" t="n"/>
    </row>
    <row r="24">
      <c r="A24" s="9" t="n"/>
      <c r="B24" s="9" t="n"/>
      <c r="C24" s="9" t="n"/>
      <c r="D24" s="9" t="n"/>
      <c r="E24" s="9" t="n"/>
      <c r="F24" s="9" t="n"/>
      <c r="G24" s="9" t="n"/>
      <c r="H24" s="9" t="n"/>
      <c r="I24" s="9" t="n"/>
      <c r="J24" s="9" t="n"/>
      <c r="K24" s="9" t="n"/>
      <c r="L24" s="12">
        <f>IFERROR(K24/J24,"")</f>
        <v/>
      </c>
      <c r="M24" s="9" t="n"/>
      <c r="N24" s="9" t="n"/>
      <c r="O24" s="9" t="n"/>
      <c r="P24" s="9" t="n"/>
      <c r="Q24" s="15">
        <f>IFERROR((M24+N24+O24)/H24,"")</f>
        <v/>
      </c>
      <c r="R24" s="9" t="n"/>
      <c r="S24" s="9" t="n"/>
      <c r="T24" s="9" t="n"/>
      <c r="U24" s="12">
        <f>IF(S24="Sim",IFERROR(T24/M24,""),"")</f>
        <v/>
      </c>
      <c r="V24" s="16">
        <f>IF(OR(H24="",$Y$3=""),"",IF(AND(OR(C24&lt;&gt;"Reel",L24&gt;=$Y$2),Q24&gt;=$Y$3),"Sim","Não"))</f>
        <v/>
      </c>
      <c r="W24" s="9" t="n"/>
    </row>
    <row r="25">
      <c r="A25" s="9" t="n"/>
      <c r="B25" s="9" t="n"/>
      <c r="C25" s="9" t="n"/>
      <c r="D25" s="9" t="n"/>
      <c r="E25" s="9" t="n"/>
      <c r="F25" s="9" t="n"/>
      <c r="G25" s="9" t="n"/>
      <c r="H25" s="9" t="n"/>
      <c r="I25" s="9" t="n"/>
      <c r="J25" s="9" t="n"/>
      <c r="K25" s="9" t="n"/>
      <c r="L25" s="12">
        <f>IFERROR(K25/J25,"")</f>
        <v/>
      </c>
      <c r="M25" s="9" t="n"/>
      <c r="N25" s="9" t="n"/>
      <c r="O25" s="9" t="n"/>
      <c r="P25" s="9" t="n"/>
      <c r="Q25" s="15">
        <f>IFERROR((M25+N25+O25)/H25,"")</f>
        <v/>
      </c>
      <c r="R25" s="9" t="n"/>
      <c r="S25" s="9" t="n"/>
      <c r="T25" s="9" t="n"/>
      <c r="U25" s="12">
        <f>IF(S25="Sim",IFERROR(T25/M25,""),"")</f>
        <v/>
      </c>
      <c r="V25" s="16">
        <f>IF(OR(H25="",$Y$3=""),"",IF(AND(OR(C25&lt;&gt;"Reel",L25&gt;=$Y$2),Q25&gt;=$Y$3),"Sim","Não"))</f>
        <v/>
      </c>
      <c r="W25" s="9" t="n"/>
    </row>
    <row r="26">
      <c r="A26" s="9" t="n"/>
      <c r="B26" s="9" t="n"/>
      <c r="C26" s="9" t="n"/>
      <c r="D26" s="9" t="n"/>
      <c r="E26" s="9" t="n"/>
      <c r="F26" s="9" t="n"/>
      <c r="G26" s="9" t="n"/>
      <c r="H26" s="9" t="n"/>
      <c r="I26" s="9" t="n"/>
      <c r="J26" s="9" t="n"/>
      <c r="K26" s="9" t="n"/>
      <c r="L26" s="12">
        <f>IFERROR(K26/J26,"")</f>
        <v/>
      </c>
      <c r="M26" s="9" t="n"/>
      <c r="N26" s="9" t="n"/>
      <c r="O26" s="9" t="n"/>
      <c r="P26" s="9" t="n"/>
      <c r="Q26" s="15">
        <f>IFERROR((M26+N26+O26)/H26,"")</f>
        <v/>
      </c>
      <c r="R26" s="9" t="n"/>
      <c r="S26" s="9" t="n"/>
      <c r="T26" s="9" t="n"/>
      <c r="U26" s="12">
        <f>IF(S26="Sim",IFERROR(T26/M26,""),"")</f>
        <v/>
      </c>
      <c r="V26" s="16">
        <f>IF(OR(H26="",$Y$3=""),"",IF(AND(OR(C26&lt;&gt;"Reel",L26&gt;=$Y$2),Q26&gt;=$Y$3),"Sim","Não"))</f>
        <v/>
      </c>
      <c r="W26" s="9" t="n"/>
    </row>
    <row r="27">
      <c r="A27" s="9" t="n"/>
      <c r="B27" s="9" t="n"/>
      <c r="C27" s="9" t="n"/>
      <c r="D27" s="9" t="n"/>
      <c r="E27" s="9" t="n"/>
      <c r="F27" s="9" t="n"/>
      <c r="G27" s="9" t="n"/>
      <c r="H27" s="9" t="n"/>
      <c r="I27" s="9" t="n"/>
      <c r="J27" s="9" t="n"/>
      <c r="K27" s="9" t="n"/>
      <c r="L27" s="12">
        <f>IFERROR(K27/J27,"")</f>
        <v/>
      </c>
      <c r="M27" s="9" t="n"/>
      <c r="N27" s="9" t="n"/>
      <c r="O27" s="9" t="n"/>
      <c r="P27" s="9" t="n"/>
      <c r="Q27" s="15">
        <f>IFERROR((M27+N27+O27)/H27,"")</f>
        <v/>
      </c>
      <c r="R27" s="9" t="n"/>
      <c r="S27" s="9" t="n"/>
      <c r="T27" s="9" t="n"/>
      <c r="U27" s="12">
        <f>IF(S27="Sim",IFERROR(T27/M27,""),"")</f>
        <v/>
      </c>
      <c r="V27" s="16">
        <f>IF(OR(H27="",$Y$3=""),"",IF(AND(OR(C27&lt;&gt;"Reel",L27&gt;=$Y$2),Q27&gt;=$Y$3),"Sim","Não"))</f>
        <v/>
      </c>
      <c r="W27" s="9" t="n"/>
    </row>
    <row r="28">
      <c r="A28" s="9" t="n"/>
      <c r="B28" s="9" t="n"/>
      <c r="C28" s="9" t="n"/>
      <c r="D28" s="9" t="n"/>
      <c r="E28" s="9" t="n"/>
      <c r="F28" s="9" t="n"/>
      <c r="G28" s="9" t="n"/>
      <c r="H28" s="9" t="n"/>
      <c r="I28" s="9" t="n"/>
      <c r="J28" s="9" t="n"/>
      <c r="K28" s="9" t="n"/>
      <c r="L28" s="12">
        <f>IFERROR(K28/J28,"")</f>
        <v/>
      </c>
      <c r="M28" s="9" t="n"/>
      <c r="N28" s="9" t="n"/>
      <c r="O28" s="9" t="n"/>
      <c r="P28" s="9" t="n"/>
      <c r="Q28" s="15">
        <f>IFERROR((M28+N28+O28)/H28,"")</f>
        <v/>
      </c>
      <c r="R28" s="9" t="n"/>
      <c r="S28" s="9" t="n"/>
      <c r="T28" s="9" t="n"/>
      <c r="U28" s="12">
        <f>IF(S28="Sim",IFERROR(T28/M28,""),"")</f>
        <v/>
      </c>
      <c r="V28" s="16">
        <f>IF(OR(H28="",$Y$3=""),"",IF(AND(OR(C28&lt;&gt;"Reel",L28&gt;=$Y$2),Q28&gt;=$Y$3),"Sim","Não"))</f>
        <v/>
      </c>
      <c r="W28" s="9" t="n"/>
    </row>
    <row r="29">
      <c r="A29" s="9" t="n"/>
      <c r="B29" s="9" t="n"/>
      <c r="C29" s="9" t="n"/>
      <c r="D29" s="9" t="n"/>
      <c r="E29" s="9" t="n"/>
      <c r="F29" s="9" t="n"/>
      <c r="G29" s="9" t="n"/>
      <c r="H29" s="9" t="n"/>
      <c r="I29" s="9" t="n"/>
      <c r="J29" s="9" t="n"/>
      <c r="K29" s="9" t="n"/>
      <c r="L29" s="12">
        <f>IFERROR(K29/J29,"")</f>
        <v/>
      </c>
      <c r="M29" s="9" t="n"/>
      <c r="N29" s="9" t="n"/>
      <c r="O29" s="9" t="n"/>
      <c r="P29" s="9" t="n"/>
      <c r="Q29" s="15">
        <f>IFERROR((M29+N29+O29)/H29,"")</f>
        <v/>
      </c>
      <c r="R29" s="9" t="n"/>
      <c r="S29" s="9" t="n"/>
      <c r="T29" s="9" t="n"/>
      <c r="U29" s="12">
        <f>IF(S29="Sim",IFERROR(T29/M29,""),"")</f>
        <v/>
      </c>
      <c r="V29" s="16">
        <f>IF(OR(H29="",$Y$3=""),"",IF(AND(OR(C29&lt;&gt;"Reel",L29&gt;=$Y$2),Q29&gt;=$Y$3),"Sim","Não"))</f>
        <v/>
      </c>
      <c r="W29" s="9" t="n"/>
    </row>
    <row r="30">
      <c r="A30" s="9" t="n"/>
      <c r="B30" s="9" t="n"/>
      <c r="C30" s="9" t="n"/>
      <c r="D30" s="9" t="n"/>
      <c r="E30" s="9" t="n"/>
      <c r="F30" s="9" t="n"/>
      <c r="G30" s="9" t="n"/>
      <c r="H30" s="9" t="n"/>
      <c r="I30" s="9" t="n"/>
      <c r="J30" s="9" t="n"/>
      <c r="K30" s="9" t="n"/>
      <c r="L30" s="12">
        <f>IFERROR(K30/J30,"")</f>
        <v/>
      </c>
      <c r="M30" s="9" t="n"/>
      <c r="N30" s="9" t="n"/>
      <c r="O30" s="9" t="n"/>
      <c r="P30" s="9" t="n"/>
      <c r="Q30" s="15">
        <f>IFERROR((M30+N30+O30)/H30,"")</f>
        <v/>
      </c>
      <c r="R30" s="9" t="n"/>
      <c r="S30" s="9" t="n"/>
      <c r="T30" s="9" t="n"/>
      <c r="U30" s="12">
        <f>IF(S30="Sim",IFERROR(T30/M30,""),"")</f>
        <v/>
      </c>
      <c r="V30" s="16">
        <f>IF(OR(H30="",$Y$3=""),"",IF(AND(OR(C30&lt;&gt;"Reel",L30&gt;=$Y$2),Q30&gt;=$Y$3),"Sim","Não"))</f>
        <v/>
      </c>
      <c r="W30" s="9" t="n"/>
    </row>
    <row r="31">
      <c r="A31" s="9" t="n"/>
      <c r="B31" s="9" t="n"/>
      <c r="C31" s="9" t="n"/>
      <c r="D31" s="9" t="n"/>
      <c r="E31" s="9" t="n"/>
      <c r="F31" s="9" t="n"/>
      <c r="G31" s="9" t="n"/>
      <c r="H31" s="9" t="n"/>
      <c r="I31" s="9" t="n"/>
      <c r="J31" s="9" t="n"/>
      <c r="K31" s="9" t="n"/>
      <c r="L31" s="12">
        <f>IFERROR(K31/J31,"")</f>
        <v/>
      </c>
      <c r="M31" s="9" t="n"/>
      <c r="N31" s="9" t="n"/>
      <c r="O31" s="9" t="n"/>
      <c r="P31" s="9" t="n"/>
      <c r="Q31" s="15">
        <f>IFERROR((M31+N31+O31)/H31,"")</f>
        <v/>
      </c>
      <c r="R31" s="9" t="n"/>
      <c r="S31" s="9" t="n"/>
      <c r="T31" s="9" t="n"/>
      <c r="U31" s="12">
        <f>IF(S31="Sim",IFERROR(T31/M31,""),"")</f>
        <v/>
      </c>
      <c r="V31" s="16">
        <f>IF(OR(H31="",$Y$3=""),"",IF(AND(OR(C31&lt;&gt;"Reel",L31&gt;=$Y$2),Q31&gt;=$Y$3),"Sim","Não"))</f>
        <v/>
      </c>
      <c r="W31" s="9" t="n"/>
    </row>
    <row r="32">
      <c r="A32" s="9" t="n"/>
      <c r="B32" s="9" t="n"/>
      <c r="C32" s="9" t="n"/>
      <c r="D32" s="9" t="n"/>
      <c r="E32" s="9" t="n"/>
      <c r="F32" s="9" t="n"/>
      <c r="G32" s="9" t="n"/>
      <c r="H32" s="9" t="n"/>
      <c r="I32" s="9" t="n"/>
      <c r="J32" s="9" t="n"/>
      <c r="K32" s="9" t="n"/>
      <c r="L32" s="12">
        <f>IFERROR(K32/J32,"")</f>
        <v/>
      </c>
      <c r="M32" s="9" t="n"/>
      <c r="N32" s="9" t="n"/>
      <c r="O32" s="9" t="n"/>
      <c r="P32" s="9" t="n"/>
      <c r="Q32" s="15">
        <f>IFERROR((M32+N32+O32)/H32,"")</f>
        <v/>
      </c>
      <c r="R32" s="9" t="n"/>
      <c r="S32" s="9" t="n"/>
      <c r="T32" s="9" t="n"/>
      <c r="U32" s="12">
        <f>IF(S32="Sim",IFERROR(T32/M32,""),"")</f>
        <v/>
      </c>
      <c r="V32" s="16">
        <f>IF(OR(H32="",$Y$3=""),"",IF(AND(OR(C32&lt;&gt;"Reel",L32&gt;=$Y$2),Q32&gt;=$Y$3),"Sim","Não"))</f>
        <v/>
      </c>
      <c r="W32" s="9" t="n"/>
    </row>
    <row r="33">
      <c r="A33" s="9" t="n"/>
      <c r="B33" s="9" t="n"/>
      <c r="C33" s="9" t="n"/>
      <c r="D33" s="9" t="n"/>
      <c r="E33" s="9" t="n"/>
      <c r="F33" s="9" t="n"/>
      <c r="G33" s="9" t="n"/>
      <c r="H33" s="9" t="n"/>
      <c r="I33" s="9" t="n"/>
      <c r="J33" s="9" t="n"/>
      <c r="K33" s="9" t="n"/>
      <c r="L33" s="12">
        <f>IFERROR(K33/J33,"")</f>
        <v/>
      </c>
      <c r="M33" s="9" t="n"/>
      <c r="N33" s="9" t="n"/>
      <c r="O33" s="9" t="n"/>
      <c r="P33" s="9" t="n"/>
      <c r="Q33" s="15">
        <f>IFERROR((M33+N33+O33)/H33,"")</f>
        <v/>
      </c>
      <c r="R33" s="9" t="n"/>
      <c r="S33" s="9" t="n"/>
      <c r="T33" s="9" t="n"/>
      <c r="U33" s="12">
        <f>IF(S33="Sim",IFERROR(T33/M33,""),"")</f>
        <v/>
      </c>
      <c r="V33" s="16">
        <f>IF(OR(H33="",$Y$3=""),"",IF(AND(OR(C33&lt;&gt;"Reel",L33&gt;=$Y$2),Q33&gt;=$Y$3),"Sim","Não"))</f>
        <v/>
      </c>
      <c r="W33" s="9" t="n"/>
    </row>
    <row r="34">
      <c r="A34" s="9" t="n"/>
      <c r="B34" s="9" t="n"/>
      <c r="C34" s="9" t="n"/>
      <c r="D34" s="9" t="n"/>
      <c r="E34" s="9" t="n"/>
      <c r="F34" s="9" t="n"/>
      <c r="G34" s="9" t="n"/>
      <c r="H34" s="9" t="n"/>
      <c r="I34" s="9" t="n"/>
      <c r="J34" s="9" t="n"/>
      <c r="K34" s="9" t="n"/>
      <c r="L34" s="12">
        <f>IFERROR(K34/J34,"")</f>
        <v/>
      </c>
      <c r="M34" s="9" t="n"/>
      <c r="N34" s="9" t="n"/>
      <c r="O34" s="9" t="n"/>
      <c r="P34" s="9" t="n"/>
      <c r="Q34" s="15">
        <f>IFERROR((M34+N34+O34)/H34,"")</f>
        <v/>
      </c>
      <c r="R34" s="9" t="n"/>
      <c r="S34" s="9" t="n"/>
      <c r="T34" s="9" t="n"/>
      <c r="U34" s="12">
        <f>IF(S34="Sim",IFERROR(T34/M34,""),"")</f>
        <v/>
      </c>
      <c r="V34" s="16">
        <f>IF(OR(H34="",$Y$3=""),"",IF(AND(OR(C34&lt;&gt;"Reel",L34&gt;=$Y$2),Q34&gt;=$Y$3),"Sim","Não"))</f>
        <v/>
      </c>
      <c r="W34" s="9" t="n"/>
    </row>
    <row r="35">
      <c r="A35" s="9" t="n"/>
      <c r="B35" s="9" t="n"/>
      <c r="C35" s="9" t="n"/>
      <c r="D35" s="9" t="n"/>
      <c r="E35" s="9" t="n"/>
      <c r="F35" s="9" t="n"/>
      <c r="G35" s="9" t="n"/>
      <c r="H35" s="9" t="n"/>
      <c r="I35" s="9" t="n"/>
      <c r="J35" s="9" t="n"/>
      <c r="K35" s="9" t="n"/>
      <c r="L35" s="12">
        <f>IFERROR(K35/J35,"")</f>
        <v/>
      </c>
      <c r="M35" s="9" t="n"/>
      <c r="N35" s="9" t="n"/>
      <c r="O35" s="9" t="n"/>
      <c r="P35" s="9" t="n"/>
      <c r="Q35" s="15">
        <f>IFERROR((M35+N35+O35)/H35,"")</f>
        <v/>
      </c>
      <c r="R35" s="9" t="n"/>
      <c r="S35" s="9" t="n"/>
      <c r="T35" s="9" t="n"/>
      <c r="U35" s="12">
        <f>IF(S35="Sim",IFERROR(T35/M35,""),"")</f>
        <v/>
      </c>
      <c r="V35" s="16">
        <f>IF(OR(H35="",$Y$3=""),"",IF(AND(OR(C35&lt;&gt;"Reel",L35&gt;=$Y$2),Q35&gt;=$Y$3),"Sim","Não"))</f>
        <v/>
      </c>
      <c r="W35" s="9" t="n"/>
    </row>
    <row r="36">
      <c r="A36" s="9" t="n"/>
      <c r="B36" s="9" t="n"/>
      <c r="C36" s="9" t="n"/>
      <c r="D36" s="9" t="n"/>
      <c r="E36" s="9" t="n"/>
      <c r="F36" s="9" t="n"/>
      <c r="G36" s="9" t="n"/>
      <c r="H36" s="9" t="n"/>
      <c r="I36" s="9" t="n"/>
      <c r="J36" s="9" t="n"/>
      <c r="K36" s="9" t="n"/>
      <c r="L36" s="12">
        <f>IFERROR(K36/J36,"")</f>
        <v/>
      </c>
      <c r="M36" s="9" t="n"/>
      <c r="N36" s="9" t="n"/>
      <c r="O36" s="9" t="n"/>
      <c r="P36" s="9" t="n"/>
      <c r="Q36" s="15">
        <f>IFERROR((M36+N36+O36)/H36,"")</f>
        <v/>
      </c>
      <c r="R36" s="9" t="n"/>
      <c r="S36" s="9" t="n"/>
      <c r="T36" s="9" t="n"/>
      <c r="U36" s="12">
        <f>IF(S36="Sim",IFERROR(T36/M36,""),"")</f>
        <v/>
      </c>
      <c r="V36" s="16">
        <f>IF(OR(H36="",$Y$3=""),"",IF(AND(OR(C36&lt;&gt;"Reel",L36&gt;=$Y$2),Q36&gt;=$Y$3),"Sim","Não"))</f>
        <v/>
      </c>
      <c r="W36" s="9" t="n"/>
    </row>
    <row r="37">
      <c r="A37" s="9" t="n"/>
      <c r="B37" s="9" t="n"/>
      <c r="C37" s="9" t="n"/>
      <c r="D37" s="9" t="n"/>
      <c r="E37" s="9" t="n"/>
      <c r="F37" s="9" t="n"/>
      <c r="G37" s="9" t="n"/>
      <c r="H37" s="9" t="n"/>
      <c r="I37" s="9" t="n"/>
      <c r="J37" s="9" t="n"/>
      <c r="K37" s="9" t="n"/>
      <c r="L37" s="12">
        <f>IFERROR(K37/J37,"")</f>
        <v/>
      </c>
      <c r="M37" s="9" t="n"/>
      <c r="N37" s="9" t="n"/>
      <c r="O37" s="9" t="n"/>
      <c r="P37" s="9" t="n"/>
      <c r="Q37" s="15">
        <f>IFERROR((M37+N37+O37)/H37,"")</f>
        <v/>
      </c>
      <c r="R37" s="9" t="n"/>
      <c r="S37" s="9" t="n"/>
      <c r="T37" s="9" t="n"/>
      <c r="U37" s="12">
        <f>IF(S37="Sim",IFERROR(T37/M37,""),"")</f>
        <v/>
      </c>
      <c r="V37" s="16">
        <f>IF(OR(H37="",$Y$3=""),"",IF(AND(OR(C37&lt;&gt;"Reel",L37&gt;=$Y$2),Q37&gt;=$Y$3),"Sim","Não"))</f>
        <v/>
      </c>
      <c r="W37" s="9" t="n"/>
    </row>
    <row r="38">
      <c r="A38" s="9" t="n"/>
      <c r="B38" s="9" t="n"/>
      <c r="C38" s="9" t="n"/>
      <c r="D38" s="9" t="n"/>
      <c r="E38" s="9" t="n"/>
      <c r="F38" s="9" t="n"/>
      <c r="G38" s="9" t="n"/>
      <c r="H38" s="9" t="n"/>
      <c r="I38" s="9" t="n"/>
      <c r="J38" s="9" t="n"/>
      <c r="K38" s="9" t="n"/>
      <c r="L38" s="12">
        <f>IFERROR(K38/J38,"")</f>
        <v/>
      </c>
      <c r="M38" s="9" t="n"/>
      <c r="N38" s="9" t="n"/>
      <c r="O38" s="9" t="n"/>
      <c r="P38" s="9" t="n"/>
      <c r="Q38" s="15">
        <f>IFERROR((M38+N38+O38)/H38,"")</f>
        <v/>
      </c>
      <c r="R38" s="9" t="n"/>
      <c r="S38" s="9" t="n"/>
      <c r="T38" s="9" t="n"/>
      <c r="U38" s="12">
        <f>IF(S38="Sim",IFERROR(T38/M38,""),"")</f>
        <v/>
      </c>
      <c r="V38" s="16">
        <f>IF(OR(H38="",$Y$3=""),"",IF(AND(OR(C38&lt;&gt;"Reel",L38&gt;=$Y$2),Q38&gt;=$Y$3),"Sim","Não"))</f>
        <v/>
      </c>
      <c r="W38" s="9" t="n"/>
    </row>
    <row r="39">
      <c r="A39" s="9" t="n"/>
      <c r="B39" s="9" t="n"/>
      <c r="C39" s="9" t="n"/>
      <c r="D39" s="9" t="n"/>
      <c r="E39" s="9" t="n"/>
      <c r="F39" s="9" t="n"/>
      <c r="G39" s="9" t="n"/>
      <c r="H39" s="9" t="n"/>
      <c r="I39" s="9" t="n"/>
      <c r="J39" s="9" t="n"/>
      <c r="K39" s="9" t="n"/>
      <c r="L39" s="12">
        <f>IFERROR(K39/J39,"")</f>
        <v/>
      </c>
      <c r="M39" s="9" t="n"/>
      <c r="N39" s="9" t="n"/>
      <c r="O39" s="9" t="n"/>
      <c r="P39" s="9" t="n"/>
      <c r="Q39" s="15">
        <f>IFERROR((M39+N39+O39)/H39,"")</f>
        <v/>
      </c>
      <c r="R39" s="9" t="n"/>
      <c r="S39" s="9" t="n"/>
      <c r="T39" s="9" t="n"/>
      <c r="U39" s="12">
        <f>IF(S39="Sim",IFERROR(T39/M39,""),"")</f>
        <v/>
      </c>
      <c r="V39" s="16">
        <f>IF(OR(H39="",$Y$3=""),"",IF(AND(OR(C39&lt;&gt;"Reel",L39&gt;=$Y$2),Q39&gt;=$Y$3),"Sim","Não"))</f>
        <v/>
      </c>
      <c r="W39" s="9" t="n"/>
    </row>
    <row r="40">
      <c r="A40" s="9" t="n"/>
      <c r="B40" s="9" t="n"/>
      <c r="C40" s="9" t="n"/>
      <c r="D40" s="9" t="n"/>
      <c r="E40" s="9" t="n"/>
      <c r="F40" s="9" t="n"/>
      <c r="G40" s="9" t="n"/>
      <c r="H40" s="9" t="n"/>
      <c r="I40" s="9" t="n"/>
      <c r="J40" s="9" t="n"/>
      <c r="K40" s="9" t="n"/>
      <c r="L40" s="12">
        <f>IFERROR(K40/J40,"")</f>
        <v/>
      </c>
      <c r="M40" s="9" t="n"/>
      <c r="N40" s="9" t="n"/>
      <c r="O40" s="9" t="n"/>
      <c r="P40" s="9" t="n"/>
      <c r="Q40" s="15">
        <f>IFERROR((M40+N40+O40)/H40,"")</f>
        <v/>
      </c>
      <c r="R40" s="9" t="n"/>
      <c r="S40" s="9" t="n"/>
      <c r="T40" s="9" t="n"/>
      <c r="U40" s="12">
        <f>IF(S40="Sim",IFERROR(T40/M40,""),"")</f>
        <v/>
      </c>
      <c r="V40" s="16">
        <f>IF(OR(H40="",$Y$3=""),"",IF(AND(OR(C40&lt;&gt;"Reel",L40&gt;=$Y$2),Q40&gt;=$Y$3),"Sim","Não"))</f>
        <v/>
      </c>
      <c r="W40" s="9" t="n"/>
    </row>
    <row r="41">
      <c r="A41" s="9" t="n"/>
      <c r="B41" s="9" t="n"/>
      <c r="C41" s="9" t="n"/>
      <c r="D41" s="9" t="n"/>
      <c r="E41" s="9" t="n"/>
      <c r="F41" s="9" t="n"/>
      <c r="G41" s="9" t="n"/>
      <c r="H41" s="9" t="n"/>
      <c r="I41" s="9" t="n"/>
      <c r="J41" s="9" t="n"/>
      <c r="K41" s="9" t="n"/>
      <c r="L41" s="12">
        <f>IFERROR(K41/J41,"")</f>
        <v/>
      </c>
      <c r="M41" s="9" t="n"/>
      <c r="N41" s="9" t="n"/>
      <c r="O41" s="9" t="n"/>
      <c r="P41" s="9" t="n"/>
      <c r="Q41" s="15">
        <f>IFERROR((M41+N41+O41)/H41,"")</f>
        <v/>
      </c>
      <c r="R41" s="9" t="n"/>
      <c r="S41" s="9" t="n"/>
      <c r="T41" s="9" t="n"/>
      <c r="U41" s="12">
        <f>IF(S41="Sim",IFERROR(T41/M41,""),"")</f>
        <v/>
      </c>
      <c r="V41" s="16">
        <f>IF(OR(H41="",$Y$3=""),"",IF(AND(OR(C41&lt;&gt;"Reel",L41&gt;=$Y$2),Q41&gt;=$Y$3),"Sim","Não"))</f>
        <v/>
      </c>
      <c r="W41" s="9" t="n"/>
    </row>
    <row r="42">
      <c r="A42" s="9" t="n"/>
      <c r="B42" s="9" t="n"/>
      <c r="C42" s="9" t="n"/>
      <c r="D42" s="9" t="n"/>
      <c r="E42" s="9" t="n"/>
      <c r="F42" s="9" t="n"/>
      <c r="G42" s="9" t="n"/>
      <c r="H42" s="9" t="n"/>
      <c r="I42" s="9" t="n"/>
      <c r="J42" s="9" t="n"/>
      <c r="K42" s="9" t="n"/>
      <c r="L42" s="12">
        <f>IFERROR(K42/J42,"")</f>
        <v/>
      </c>
      <c r="M42" s="9" t="n"/>
      <c r="N42" s="9" t="n"/>
      <c r="O42" s="9" t="n"/>
      <c r="P42" s="9" t="n"/>
      <c r="Q42" s="15">
        <f>IFERROR((M42+N42+O42)/H42,"")</f>
        <v/>
      </c>
      <c r="R42" s="9" t="n"/>
      <c r="S42" s="9" t="n"/>
      <c r="T42" s="9" t="n"/>
      <c r="U42" s="12">
        <f>IF(S42="Sim",IFERROR(T42/M42,""),"")</f>
        <v/>
      </c>
      <c r="V42" s="16">
        <f>IF(OR(H42="",$Y$3=""),"",IF(AND(OR(C42&lt;&gt;"Reel",L42&gt;=$Y$2),Q42&gt;=$Y$3),"Sim","Não"))</f>
        <v/>
      </c>
      <c r="W42" s="9" t="n"/>
    </row>
    <row r="43">
      <c r="A43" s="9" t="n"/>
      <c r="B43" s="9" t="n"/>
      <c r="C43" s="9" t="n"/>
      <c r="D43" s="9" t="n"/>
      <c r="E43" s="9" t="n"/>
      <c r="F43" s="9" t="n"/>
      <c r="G43" s="9" t="n"/>
      <c r="H43" s="9" t="n"/>
      <c r="I43" s="9" t="n"/>
      <c r="J43" s="9" t="n"/>
      <c r="K43" s="9" t="n"/>
      <c r="L43" s="12">
        <f>IFERROR(K43/J43,"")</f>
        <v/>
      </c>
      <c r="M43" s="9" t="n"/>
      <c r="N43" s="9" t="n"/>
      <c r="O43" s="9" t="n"/>
      <c r="P43" s="9" t="n"/>
      <c r="Q43" s="15">
        <f>IFERROR((M43+N43+O43)/H43,"")</f>
        <v/>
      </c>
      <c r="R43" s="9" t="n"/>
      <c r="S43" s="9" t="n"/>
      <c r="T43" s="9" t="n"/>
      <c r="U43" s="12">
        <f>IF(S43="Sim",IFERROR(T43/M43,""),"")</f>
        <v/>
      </c>
      <c r="V43" s="16">
        <f>IF(OR(H43="",$Y$3=""),"",IF(AND(OR(C43&lt;&gt;"Reel",L43&gt;=$Y$2),Q43&gt;=$Y$3),"Sim","Não"))</f>
        <v/>
      </c>
      <c r="W43" s="9" t="n"/>
    </row>
    <row r="44">
      <c r="A44" s="9" t="n"/>
      <c r="B44" s="9" t="n"/>
      <c r="C44" s="9" t="n"/>
      <c r="D44" s="9" t="n"/>
      <c r="E44" s="9" t="n"/>
      <c r="F44" s="9" t="n"/>
      <c r="G44" s="9" t="n"/>
      <c r="H44" s="9" t="n"/>
      <c r="I44" s="9" t="n"/>
      <c r="J44" s="9" t="n"/>
      <c r="K44" s="9" t="n"/>
      <c r="L44" s="12">
        <f>IFERROR(K44/J44,"")</f>
        <v/>
      </c>
      <c r="M44" s="9" t="n"/>
      <c r="N44" s="9" t="n"/>
      <c r="O44" s="9" t="n"/>
      <c r="P44" s="9" t="n"/>
      <c r="Q44" s="15">
        <f>IFERROR((M44+N44+O44)/H44,"")</f>
        <v/>
      </c>
      <c r="R44" s="9" t="n"/>
      <c r="S44" s="9" t="n"/>
      <c r="T44" s="9" t="n"/>
      <c r="U44" s="12">
        <f>IF(S44="Sim",IFERROR(T44/M44,""),"")</f>
        <v/>
      </c>
      <c r="V44" s="16">
        <f>IF(OR(H44="",$Y$3=""),"",IF(AND(OR(C44&lt;&gt;"Reel",L44&gt;=$Y$2),Q44&gt;=$Y$3),"Sim","Não"))</f>
        <v/>
      </c>
      <c r="W44" s="9" t="n"/>
    </row>
  </sheetData>
  <dataValidations count="3">
    <dataValidation sqref="C5 C6 C7 C8 C9 C10 C11 C12 C13 C14 C15 C16 C17 C18 C19 C20 C21 C22 C23 C24 C25 C26 C27 C28 C29 C30 C31 C32 C33 C34 C35 C36 C37 C38 C39 C40 C41 C42 C43 C44" showDropDown="0" showInputMessage="0" showErrorMessage="0" allowBlank="0" type="list">
      <formula1>"Reel,Carrossel,Newsletter,Short,Live YouTube"</formula1>
    </dataValidation>
    <dataValidation sqref="D5 D6 D7 D8 D9 D10 D11 D12 D13 D14 D15 D16 D17 D18 D19 D20 D21 D22 D23 D24 D25 D26 D27 D28 D29 D30 D31 D32 D33 D34 D35 D36 D37 D38 D39 D40 D41 D42 D43 D44" showDropDown="0" showInputMessage="0" showErrorMessage="0" allowBlank="0" type="list">
      <formula1>"Gabriel,Liliane,Outro"</formula1>
    </dataValidation>
    <dataValidation sqref="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showDropDown="0" showInputMessage="0" showErrorMessage="0" allowBlank="0" type="list">
      <formula1>"Sim,Não"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3" customWidth="1" min="6" max="6"/>
    <col width="12" customWidth="1" min="7" max="7"/>
    <col width="12" customWidth="1" min="8" max="8"/>
    <col width="11" customWidth="1" min="9" max="9"/>
    <col width="9" customWidth="1" min="10" max="10"/>
    <col width="14" customWidth="1" min="11" max="11"/>
    <col width="12" customWidth="1" min="12" max="12"/>
    <col width="12" customWidth="1" min="13" max="13"/>
    <col width="12" customWidth="1" min="14" max="14"/>
    <col width="14" customWidth="1" min="15" max="15"/>
    <col width="34" customWidth="1" min="16" max="16"/>
    <col width="34" customWidth="1" min="17" max="17"/>
    <col width="34" customWidth="1" min="18" max="18"/>
  </cols>
  <sheetData>
    <row r="1">
      <c r="A1" s="1" t="inlineStr">
        <is>
          <t>Relatório da semana (ela traz toda semana)</t>
        </is>
      </c>
    </row>
    <row r="3" ht="45" customHeight="1">
      <c r="A3" s="6" t="inlineStr">
        <is>
          <t>Semana (início)</t>
        </is>
      </c>
      <c r="B3" s="6" t="inlineStr">
        <is>
          <t>Seguidores (total)</t>
        </is>
      </c>
      <c r="C3" s="6" t="inlineStr">
        <is>
          <t>Seguidores novos</t>
        </is>
      </c>
      <c r="D3" s="6" t="inlineStr">
        <is>
          <t>Contas engajadas</t>
        </is>
      </c>
      <c r="E3" s="6" t="inlineStr">
        <is>
          <t>Alcance</t>
        </is>
      </c>
      <c r="F3" s="6" t="inlineStr">
        <is>
          <t>E-mails novos (captura)</t>
        </is>
      </c>
      <c r="G3" s="6" t="inlineStr">
        <is>
          <t>Newsletter: abertura %</t>
        </is>
      </c>
      <c r="H3" s="6" t="inlineStr">
        <is>
          <t>Newsletter: cliques %</t>
        </is>
      </c>
      <c r="I3" s="6" t="inlineStr">
        <is>
          <t>Descadastros</t>
        </is>
      </c>
      <c r="J3" s="6" t="inlineStr">
        <is>
          <t>Spam %</t>
        </is>
      </c>
      <c r="K3" s="6" t="inlineStr">
        <is>
          <t>Reels acima da linha de base</t>
        </is>
      </c>
      <c r="L3" s="6" t="inlineStr">
        <is>
          <t>YouTube: inscritos novos</t>
        </is>
      </c>
      <c r="M3" s="6" t="inlineStr">
        <is>
          <t>YouTube: visualizações</t>
        </is>
      </c>
      <c r="N3" s="6" t="inlineStr">
        <is>
          <t>YouTube: horas assistidas</t>
        </is>
      </c>
      <c r="O3" s="6" t="inlineStr">
        <is>
          <t>YouTube: cliques no link da newsletter</t>
        </is>
      </c>
      <c r="P3" s="6" t="inlineStr">
        <is>
          <t>O que funcionou</t>
        </is>
      </c>
      <c r="Q3" s="6" t="inlineStr">
        <is>
          <t>O que não funcionou</t>
        </is>
      </c>
      <c r="R3" s="6" t="inlineStr">
        <is>
          <t>O que vou testar na semana que vem</t>
        </is>
      </c>
    </row>
    <row r="4">
      <c r="A4" s="9" t="n"/>
      <c r="B4" s="9" t="n"/>
      <c r="C4" s="9" t="n"/>
      <c r="D4" s="9" t="n"/>
      <c r="E4" s="9" t="n"/>
      <c r="F4" s="9" t="n"/>
      <c r="G4" s="9" t="n"/>
      <c r="H4" s="9" t="n"/>
      <c r="I4" s="9" t="n"/>
      <c r="J4" s="9" t="n"/>
      <c r="K4" s="16">
        <f>IF(A4="","",COUNTIFS('4. Placar por peça'!A:A,A4,'4. Placar por peça'!C:C,"Reel",'4. Placar por peça'!V:V,"Sim")&amp;" de "&amp;COUNTIFS('4. Placar por peça'!A:A,A4,'4. Placar por peça'!C:C,"Reel"))</f>
        <v/>
      </c>
      <c r="L4" s="9" t="n"/>
      <c r="M4" s="9" t="n"/>
      <c r="N4" s="9" t="n"/>
      <c r="O4" s="9" t="n"/>
      <c r="P4" s="17" t="n"/>
      <c r="Q4" s="17" t="n"/>
      <c r="R4" s="17" t="n"/>
    </row>
    <row r="5">
      <c r="A5" s="9" t="n"/>
      <c r="B5" s="9" t="n"/>
      <c r="C5" s="9" t="n"/>
      <c r="D5" s="9" t="n"/>
      <c r="E5" s="9" t="n"/>
      <c r="F5" s="9" t="n"/>
      <c r="G5" s="9" t="n"/>
      <c r="H5" s="9" t="n"/>
      <c r="I5" s="9" t="n"/>
      <c r="J5" s="9" t="n"/>
      <c r="K5" s="16">
        <f>IF(A5="","",COUNTIFS('4. Placar por peça'!A:A,A5,'4. Placar por peça'!C:C,"Reel",'4. Placar por peça'!V:V,"Sim")&amp;" de "&amp;COUNTIFS('4. Placar por peça'!A:A,A5,'4. Placar por peça'!C:C,"Reel"))</f>
        <v/>
      </c>
      <c r="L5" s="9" t="n"/>
      <c r="M5" s="9" t="n"/>
      <c r="N5" s="9" t="n"/>
      <c r="O5" s="9" t="n"/>
      <c r="P5" s="17" t="n"/>
      <c r="Q5" s="17" t="n"/>
      <c r="R5" s="17" t="n"/>
    </row>
    <row r="6">
      <c r="A6" s="9" t="n"/>
      <c r="B6" s="9" t="n"/>
      <c r="C6" s="9" t="n"/>
      <c r="D6" s="9" t="n"/>
      <c r="E6" s="9" t="n"/>
      <c r="F6" s="9" t="n"/>
      <c r="G6" s="9" t="n"/>
      <c r="H6" s="9" t="n"/>
      <c r="I6" s="9" t="n"/>
      <c r="J6" s="9" t="n"/>
      <c r="K6" s="16">
        <f>IF(A6="","",COUNTIFS('4. Placar por peça'!A:A,A6,'4. Placar por peça'!C:C,"Reel",'4. Placar por peça'!V:V,"Sim")&amp;" de "&amp;COUNTIFS('4. Placar por peça'!A:A,A6,'4. Placar por peça'!C:C,"Reel"))</f>
        <v/>
      </c>
      <c r="L6" s="9" t="n"/>
      <c r="M6" s="9" t="n"/>
      <c r="N6" s="9" t="n"/>
      <c r="O6" s="9" t="n"/>
      <c r="P6" s="17" t="n"/>
      <c r="Q6" s="17" t="n"/>
      <c r="R6" s="17" t="n"/>
    </row>
    <row r="7">
      <c r="A7" s="9" t="n"/>
      <c r="B7" s="9" t="n"/>
      <c r="C7" s="9" t="n"/>
      <c r="D7" s="9" t="n"/>
      <c r="E7" s="9" t="n"/>
      <c r="F7" s="9" t="n"/>
      <c r="G7" s="9" t="n"/>
      <c r="H7" s="9" t="n"/>
      <c r="I7" s="9" t="n"/>
      <c r="J7" s="9" t="n"/>
      <c r="K7" s="16">
        <f>IF(A7="","",COUNTIFS('4. Placar por peça'!A:A,A7,'4. Placar por peça'!C:C,"Reel",'4. Placar por peça'!V:V,"Sim")&amp;" de "&amp;COUNTIFS('4. Placar por peça'!A:A,A7,'4. Placar por peça'!C:C,"Reel"))</f>
        <v/>
      </c>
      <c r="L7" s="9" t="n"/>
      <c r="M7" s="9" t="n"/>
      <c r="N7" s="9" t="n"/>
      <c r="O7" s="9" t="n"/>
      <c r="P7" s="17" t="n"/>
      <c r="Q7" s="17" t="n"/>
      <c r="R7" s="17" t="n"/>
    </row>
    <row r="8">
      <c r="A8" s="9" t="n"/>
      <c r="B8" s="9" t="n"/>
      <c r="C8" s="9" t="n"/>
      <c r="D8" s="9" t="n"/>
      <c r="E8" s="9" t="n"/>
      <c r="F8" s="9" t="n"/>
      <c r="G8" s="9" t="n"/>
      <c r="H8" s="9" t="n"/>
      <c r="I8" s="9" t="n"/>
      <c r="J8" s="9" t="n"/>
      <c r="K8" s="16">
        <f>IF(A8="","",COUNTIFS('4. Placar por peça'!A:A,A8,'4. Placar por peça'!C:C,"Reel",'4. Placar por peça'!V:V,"Sim")&amp;" de "&amp;COUNTIFS('4. Placar por peça'!A:A,A8,'4. Placar por peça'!C:C,"Reel"))</f>
        <v/>
      </c>
      <c r="L8" s="9" t="n"/>
      <c r="M8" s="9" t="n"/>
      <c r="N8" s="9" t="n"/>
      <c r="O8" s="9" t="n"/>
      <c r="P8" s="17" t="n"/>
      <c r="Q8" s="17" t="n"/>
      <c r="R8" s="17" t="n"/>
    </row>
    <row r="9">
      <c r="A9" s="9" t="n"/>
      <c r="B9" s="9" t="n"/>
      <c r="C9" s="9" t="n"/>
      <c r="D9" s="9" t="n"/>
      <c r="E9" s="9" t="n"/>
      <c r="F9" s="9" t="n"/>
      <c r="G9" s="9" t="n"/>
      <c r="H9" s="9" t="n"/>
      <c r="I9" s="9" t="n"/>
      <c r="J9" s="9" t="n"/>
      <c r="K9" s="16">
        <f>IF(A9="","",COUNTIFS('4. Placar por peça'!A:A,A9,'4. Placar por peça'!C:C,"Reel",'4. Placar por peça'!V:V,"Sim")&amp;" de "&amp;COUNTIFS('4. Placar por peça'!A:A,A9,'4. Placar por peça'!C:C,"Reel"))</f>
        <v/>
      </c>
      <c r="L9" s="9" t="n"/>
      <c r="M9" s="9" t="n"/>
      <c r="N9" s="9" t="n"/>
      <c r="O9" s="9" t="n"/>
      <c r="P9" s="17" t="n"/>
      <c r="Q9" s="17" t="n"/>
      <c r="R9" s="17" t="n"/>
    </row>
    <row r="10">
      <c r="A10" s="9" t="n"/>
      <c r="B10" s="9" t="n"/>
      <c r="C10" s="9" t="n"/>
      <c r="D10" s="9" t="n"/>
      <c r="E10" s="9" t="n"/>
      <c r="F10" s="9" t="n"/>
      <c r="G10" s="9" t="n"/>
      <c r="H10" s="9" t="n"/>
      <c r="I10" s="9" t="n"/>
      <c r="J10" s="9" t="n"/>
      <c r="K10" s="16">
        <f>IF(A10="","",COUNTIFS('4. Placar por peça'!A:A,A10,'4. Placar por peça'!C:C,"Reel",'4. Placar por peça'!V:V,"Sim")&amp;" de "&amp;COUNTIFS('4. Placar por peça'!A:A,A10,'4. Placar por peça'!C:C,"Reel"))</f>
        <v/>
      </c>
      <c r="L10" s="9" t="n"/>
      <c r="M10" s="9" t="n"/>
      <c r="N10" s="9" t="n"/>
      <c r="O10" s="9" t="n"/>
      <c r="P10" s="17" t="n"/>
      <c r="Q10" s="17" t="n"/>
      <c r="R10" s="17" t="n"/>
    </row>
    <row r="11">
      <c r="A11" s="9" t="n"/>
      <c r="B11" s="9" t="n"/>
      <c r="C11" s="9" t="n"/>
      <c r="D11" s="9" t="n"/>
      <c r="E11" s="9" t="n"/>
      <c r="F11" s="9" t="n"/>
      <c r="G11" s="9" t="n"/>
      <c r="H11" s="9" t="n"/>
      <c r="I11" s="9" t="n"/>
      <c r="J11" s="9" t="n"/>
      <c r="K11" s="16">
        <f>IF(A11="","",COUNTIFS('4. Placar por peça'!A:A,A11,'4. Placar por peça'!C:C,"Reel",'4. Placar por peça'!V:V,"Sim")&amp;" de "&amp;COUNTIFS('4. Placar por peça'!A:A,A11,'4. Placar por peça'!C:C,"Reel"))</f>
        <v/>
      </c>
      <c r="L11" s="9" t="n"/>
      <c r="M11" s="9" t="n"/>
      <c r="N11" s="9" t="n"/>
      <c r="O11" s="9" t="n"/>
      <c r="P11" s="17" t="n"/>
      <c r="Q11" s="17" t="n"/>
      <c r="R11" s="17" t="n"/>
    </row>
    <row r="12">
      <c r="A12" s="9" t="n"/>
      <c r="B12" s="9" t="n"/>
      <c r="C12" s="9" t="n"/>
      <c r="D12" s="9" t="n"/>
      <c r="E12" s="9" t="n"/>
      <c r="F12" s="9" t="n"/>
      <c r="G12" s="9" t="n"/>
      <c r="H12" s="9" t="n"/>
      <c r="I12" s="9" t="n"/>
      <c r="J12" s="9" t="n"/>
      <c r="K12" s="16">
        <f>IF(A12="","",COUNTIFS('4. Placar por peça'!A:A,A12,'4. Placar por peça'!C:C,"Reel",'4. Placar por peça'!V:V,"Sim")&amp;" de "&amp;COUNTIFS('4. Placar por peça'!A:A,A12,'4. Placar por peça'!C:C,"Reel"))</f>
        <v/>
      </c>
      <c r="L12" s="9" t="n"/>
      <c r="M12" s="9" t="n"/>
      <c r="N12" s="9" t="n"/>
      <c r="O12" s="9" t="n"/>
      <c r="P12" s="17" t="n"/>
      <c r="Q12" s="17" t="n"/>
      <c r="R12" s="17" t="n"/>
    </row>
    <row r="13">
      <c r="A13" s="9" t="n"/>
      <c r="B13" s="9" t="n"/>
      <c r="C13" s="9" t="n"/>
      <c r="D13" s="9" t="n"/>
      <c r="E13" s="9" t="n"/>
      <c r="F13" s="9" t="n"/>
      <c r="G13" s="9" t="n"/>
      <c r="H13" s="9" t="n"/>
      <c r="I13" s="9" t="n"/>
      <c r="J13" s="9" t="n"/>
      <c r="K13" s="16">
        <f>IF(A13="","",COUNTIFS('4. Placar por peça'!A:A,A13,'4. Placar por peça'!C:C,"Reel",'4. Placar por peça'!V:V,"Sim")&amp;" de "&amp;COUNTIFS('4. Placar por peça'!A:A,A13,'4. Placar por peça'!C:C,"Reel"))</f>
        <v/>
      </c>
      <c r="L13" s="9" t="n"/>
      <c r="M13" s="9" t="n"/>
      <c r="N13" s="9" t="n"/>
      <c r="O13" s="9" t="n"/>
      <c r="P13" s="17" t="n"/>
      <c r="Q13" s="17" t="n"/>
      <c r="R13" s="17" t="n"/>
    </row>
    <row r="14">
      <c r="A14" s="9" t="n"/>
      <c r="B14" s="9" t="n"/>
      <c r="C14" s="9" t="n"/>
      <c r="D14" s="9" t="n"/>
      <c r="E14" s="9" t="n"/>
      <c r="F14" s="9" t="n"/>
      <c r="G14" s="9" t="n"/>
      <c r="H14" s="9" t="n"/>
      <c r="I14" s="9" t="n"/>
      <c r="J14" s="9" t="n"/>
      <c r="K14" s="16">
        <f>IF(A14="","",COUNTIFS('4. Placar por peça'!A:A,A14,'4. Placar por peça'!C:C,"Reel",'4. Placar por peça'!V:V,"Sim")&amp;" de "&amp;COUNTIFS('4. Placar por peça'!A:A,A14,'4. Placar por peça'!C:C,"Reel"))</f>
        <v/>
      </c>
      <c r="L14" s="9" t="n"/>
      <c r="M14" s="9" t="n"/>
      <c r="N14" s="9" t="n"/>
      <c r="O14" s="9" t="n"/>
      <c r="P14" s="17" t="n"/>
      <c r="Q14" s="17" t="n"/>
      <c r="R14" s="17" t="n"/>
    </row>
    <row r="15">
      <c r="A15" s="9" t="n"/>
      <c r="B15" s="9" t="n"/>
      <c r="C15" s="9" t="n"/>
      <c r="D15" s="9" t="n"/>
      <c r="E15" s="9" t="n"/>
      <c r="F15" s="9" t="n"/>
      <c r="G15" s="9" t="n"/>
      <c r="H15" s="9" t="n"/>
      <c r="I15" s="9" t="n"/>
      <c r="J15" s="9" t="n"/>
      <c r="K15" s="16">
        <f>IF(A15="","",COUNTIFS('4. Placar por peça'!A:A,A15,'4. Placar por peça'!C:C,"Reel",'4. Placar por peça'!V:V,"Sim")&amp;" de "&amp;COUNTIFS('4. Placar por peça'!A:A,A15,'4. Placar por peça'!C:C,"Reel"))</f>
        <v/>
      </c>
      <c r="L15" s="9" t="n"/>
      <c r="M15" s="9" t="n"/>
      <c r="N15" s="9" t="n"/>
      <c r="O15" s="9" t="n"/>
      <c r="P15" s="17" t="n"/>
      <c r="Q15" s="17" t="n"/>
      <c r="R15" s="17" t="n"/>
    </row>
    <row r="16">
      <c r="A16" s="9" t="n"/>
      <c r="B16" s="9" t="n"/>
      <c r="C16" s="9" t="n"/>
      <c r="D16" s="9" t="n"/>
      <c r="E16" s="9" t="n"/>
      <c r="F16" s="9" t="n"/>
      <c r="G16" s="9" t="n"/>
      <c r="H16" s="9" t="n"/>
      <c r="I16" s="9" t="n"/>
      <c r="J16" s="9" t="n"/>
      <c r="K16" s="16">
        <f>IF(A16="","",COUNTIFS('4. Placar por peça'!A:A,A16,'4. Placar por peça'!C:C,"Reel",'4. Placar por peça'!V:V,"Sim")&amp;" de "&amp;COUNTIFS('4. Placar por peça'!A:A,A16,'4. Placar por peça'!C:C,"Reel"))</f>
        <v/>
      </c>
      <c r="L16" s="9" t="n"/>
      <c r="M16" s="9" t="n"/>
      <c r="N16" s="9" t="n"/>
      <c r="O16" s="9" t="n"/>
      <c r="P16" s="17" t="n"/>
      <c r="Q16" s="17" t="n"/>
      <c r="R16" s="17" t="n"/>
    </row>
    <row r="19">
      <c r="A19" t="inlineStr">
        <is>
          <t>Atenção: olhar mais os CLIQUES do que a abertura (o iPhone marca e-mail como aberto sozinho). Spam acima de 0,1%: parar e avisar a Gisele.</t>
        </is>
      </c>
    </row>
    <row r="20">
      <c r="A20" t="inlineStr">
        <is>
          <t>Na coluna "Semana" das abas 3, 4 e 5, usar sempre a mesma data (a segunda-feira da semana), para as contas cruzarem.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6" customWidth="1" min="1" max="1"/>
    <col width="100" customWidth="1" min="2" max="2"/>
  </cols>
  <sheetData>
    <row r="1">
      <c r="A1" s="1" t="inlineStr">
        <is>
          <t>Checklist antes de mandar o roteiro para aprovação</t>
        </is>
      </c>
    </row>
    <row r="3">
      <c r="A3" t="inlineStr">
        <is>
          <t>☐</t>
        </is>
      </c>
      <c r="B3" s="3" t="inlineStr">
        <is>
          <t>GANCHO: escrevi 3 opções de abertura e escolhi a mais forte.</t>
        </is>
      </c>
    </row>
    <row r="4">
      <c r="A4" t="inlineStr">
        <is>
          <t>☐</t>
        </is>
      </c>
      <c r="B4" s="3" t="inlineStr">
        <is>
          <t>GANCHO: a primeira frase cabe em 3 segundos e cria tensão, curiosidade ou contradiz algo que a pessoa acredita.</t>
        </is>
      </c>
    </row>
    <row r="5">
      <c r="A5" t="inlineStr">
        <is>
          <t>☐</t>
        </is>
      </c>
      <c r="B5" s="3" t="inlineStr">
        <is>
          <t>GANCHO: tem texto grande na tela nos 3 primeiros segundos (muita gente assiste sem som).</t>
        </is>
      </c>
    </row>
    <row r="6">
      <c r="A6" t="inlineStr">
        <is>
          <t>☐</t>
        </is>
      </c>
      <c r="B6" s="3" t="inlineStr">
        <is>
          <t>IMAGEM: escolhi as imagens de cada parte (reais, sem IA) e elas mostram aquilo que está sendo dito.</t>
        </is>
      </c>
    </row>
    <row r="7">
      <c r="A7" t="inlineStr">
        <is>
          <t>☐</t>
        </is>
      </c>
      <c r="B7" s="3" t="inlineStr">
        <is>
          <t>IMAGEM: a primeira imagem/cena é a mais forte e já se entende sem som.</t>
        </is>
      </c>
    </row>
    <row r="8">
      <c r="A8" t="inlineStr">
        <is>
          <t>☐</t>
        </is>
      </c>
      <c r="B8" s="3" t="inlineStr">
        <is>
          <t>IMAGEM: depoimento ou exame com autorização e sem dados que identifiquem.</t>
        </is>
      </c>
    </row>
    <row r="9">
      <c r="A9" t="inlineStr">
        <is>
          <t>☐</t>
        </is>
      </c>
      <c r="B9" s="3" t="inlineStr">
        <is>
          <t>GANCHO: não começa com "Oi, gente", apresentação ou contexto.</t>
        </is>
      </c>
    </row>
    <row r="10">
      <c r="A10" t="inlineStr">
        <is>
          <t>☐</t>
        </is>
      </c>
      <c r="B10" s="3" t="inlineStr">
        <is>
          <t>RETENÇÃO: cada frase dá motivo para ouvir a próxima. Cortei toda frase que não faz falta.</t>
        </is>
      </c>
    </row>
    <row r="11">
      <c r="A11" t="inlineStr">
        <is>
          <t>☐</t>
        </is>
      </c>
      <c r="B11" s="3" t="inlineStr">
        <is>
          <t>RETENÇÃO: a promessa do gancho só é paga no final (ou perto dele).</t>
        </is>
      </c>
    </row>
    <row r="12">
      <c r="A12" t="inlineStr">
        <is>
          <t>☐</t>
        </is>
      </c>
      <c r="B12" s="3" t="inlineStr">
        <is>
          <t>RETENÇÃO: o reel tem até 45 segundos, salvo motivo forte.</t>
        </is>
      </c>
    </row>
    <row r="13">
      <c r="A13" t="inlineStr">
        <is>
          <t>☐</t>
        </is>
      </c>
      <c r="B13" s="3" t="inlineStr">
        <is>
          <t>RETENÇÃO: marquei onde entra mudança visual (corte, texto, imagem) a cada 3 a 5 segundos.</t>
        </is>
      </c>
    </row>
    <row r="14">
      <c r="A14" t="inlineStr">
        <is>
          <t>☐</t>
        </is>
      </c>
      <c r="B14" s="3" t="inlineStr">
        <is>
          <t>CONVERSÃO: tem UM pedido só no final (comentar, salvar, seguir, compartilhar ou ir para a newsletter).</t>
        </is>
      </c>
    </row>
    <row r="15">
      <c r="A15" t="inlineStr">
        <is>
          <t>☐</t>
        </is>
      </c>
      <c r="B15" s="3" t="inlineStr">
        <is>
          <t>CONVERSÃO: se é captura, a palavra-chave e o material estão claros e a automação está pronta.</t>
        </is>
      </c>
    </row>
    <row r="16">
      <c r="A16" t="inlineStr">
        <is>
          <t>☐</t>
        </is>
      </c>
      <c r="B16" s="3" t="inlineStr">
        <is>
          <t>FATOS: todo dado técnico vem do material da FSA (live, aula) ou tem fonte.</t>
        </is>
      </c>
    </row>
    <row r="17">
      <c r="A17" t="inlineStr">
        <is>
          <t>☐</t>
        </is>
      </c>
      <c r="B17" s="3" t="inlineStr">
        <is>
          <t>CARROSSEL DA NEWSLETTER: a capa NÃO diz "tema da newsletter". Abre com a ideia que quebra a cabeça; a newsletter só aparece no último slide.</t>
        </is>
      </c>
    </row>
    <row r="18">
      <c r="A18" t="inlineStr">
        <is>
          <t>☐</t>
        </is>
      </c>
      <c r="B18" s="3" t="inlineStr">
        <is>
          <t>REGRAS: sem promessa de cura ou resultado garantido; dentro das regras do conselho.</t>
        </is>
      </c>
    </row>
    <row r="19">
      <c r="A19" t="inlineStr">
        <is>
          <t>☐</t>
        </is>
      </c>
      <c r="B19" s="3" t="inlineStr">
        <is>
          <t>YOUTUBE (live): título com a palavra que a pessoa buscaria, capa com foto real e texto grande, descrição com resumo, momentos principais e link da newsletter, comentário fixado com o link.</t>
        </is>
      </c>
    </row>
    <row r="20">
      <c r="A20" t="inlineStr">
        <is>
          <t>☐</t>
        </is>
      </c>
      <c r="B20" s="3" t="inlineStr">
        <is>
          <t>CAMPANHA: se fala de oferta, diz exatamente o que a página de destino diz (mesma frase, número, prazo).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4" customWidth="1" min="1" max="1"/>
    <col width="20" customWidth="1" min="2" max="2"/>
    <col width="22" customWidth="1" min="3" max="3"/>
    <col width="16" customWidth="1" min="4" max="4"/>
    <col width="50" customWidth="1" min="5" max="5"/>
    <col width="14" customWidth="1" min="6" max="6"/>
    <col width="12" customWidth="1" min="7" max="7"/>
    <col width="12" customWidth="1" min="8" max="8"/>
  </cols>
  <sheetData>
    <row r="1">
      <c r="A1" s="1" t="inlineStr">
        <is>
          <t>Calendário de captura (1 por semana, em rodízio)</t>
        </is>
      </c>
    </row>
    <row r="3">
      <c r="A3" s="6" t="inlineStr">
        <is>
          <t>Semana</t>
        </is>
      </c>
      <c r="B3" s="6" t="inlineStr">
        <is>
          <t>Tipo</t>
        </is>
      </c>
      <c r="C3" s="6" t="inlineStr">
        <is>
          <t>Formação ligada</t>
        </is>
      </c>
      <c r="D3" s="6" t="inlineStr">
        <is>
          <t>Palavra-chave</t>
        </is>
      </c>
      <c r="E3" s="6" t="inlineStr">
        <is>
          <t>Material (o que a pessoa recebe)</t>
        </is>
      </c>
      <c r="F3" s="6" t="inlineStr">
        <is>
          <t>Tirado de qual material?</t>
        </is>
      </c>
      <c r="G3" s="6" t="inlineStr">
        <is>
          <t>Comentários</t>
        </is>
      </c>
      <c r="H3" s="6" t="inlineStr">
        <is>
          <t>E-mails gerados</t>
        </is>
      </c>
    </row>
    <row r="4">
      <c r="A4" s="9" t="n"/>
      <c r="B4" s="11" t="inlineStr">
        <is>
          <t>Fica na DM</t>
        </is>
      </c>
      <c r="C4" s="9" t="n"/>
      <c r="D4" s="9" t="n"/>
      <c r="E4" s="9" t="n"/>
      <c r="F4" s="9" t="n"/>
      <c r="G4" s="9" t="n"/>
      <c r="H4" s="9" t="n"/>
    </row>
    <row r="5">
      <c r="A5" s="9" t="n"/>
      <c r="B5" s="11" t="inlineStr">
        <is>
          <t>DM para e-mail</t>
        </is>
      </c>
      <c r="C5" s="9" t="n"/>
      <c r="D5" s="9" t="n"/>
      <c r="E5" s="9" t="n"/>
      <c r="F5" s="9" t="n"/>
      <c r="G5" s="9" t="n"/>
      <c r="H5" s="9" t="n"/>
    </row>
    <row r="6">
      <c r="A6" s="9" t="n"/>
      <c r="B6" s="11" t="inlineStr">
        <is>
          <t>Convite newsletter</t>
        </is>
      </c>
      <c r="C6" s="9" t="n"/>
      <c r="D6" s="9" t="n"/>
      <c r="E6" s="9" t="n"/>
      <c r="F6" s="9" t="n"/>
      <c r="G6" s="9" t="n"/>
      <c r="H6" s="9" t="n"/>
    </row>
    <row r="7">
      <c r="A7" s="9" t="n"/>
      <c r="B7" s="11" t="inlineStr">
        <is>
          <t>DM para e-mail</t>
        </is>
      </c>
      <c r="C7" s="9" t="n"/>
      <c r="D7" s="9" t="n"/>
      <c r="E7" s="9" t="n"/>
      <c r="F7" s="9" t="n"/>
      <c r="G7" s="9" t="n"/>
      <c r="H7" s="9" t="n"/>
    </row>
    <row r="8">
      <c r="A8" s="9" t="n"/>
      <c r="B8" s="11" t="inlineStr">
        <is>
          <t>Fica na DM</t>
        </is>
      </c>
      <c r="C8" s="9" t="n"/>
      <c r="D8" s="9" t="n"/>
      <c r="E8" s="9" t="n"/>
      <c r="F8" s="9" t="n"/>
      <c r="G8" s="9" t="n"/>
      <c r="H8" s="9" t="n"/>
    </row>
    <row r="9">
      <c r="A9" s="9" t="n"/>
      <c r="B9" s="11" t="inlineStr">
        <is>
          <t>DM para e-mail</t>
        </is>
      </c>
      <c r="C9" s="9" t="n"/>
      <c r="D9" s="9" t="n"/>
      <c r="E9" s="9" t="n"/>
      <c r="F9" s="9" t="n"/>
      <c r="G9" s="9" t="n"/>
      <c r="H9" s="9" t="n"/>
    </row>
    <row r="10">
      <c r="A10" s="9" t="n"/>
      <c r="B10" s="11" t="inlineStr">
        <is>
          <t>Convite newsletter</t>
        </is>
      </c>
      <c r="C10" s="9" t="n"/>
      <c r="D10" s="9" t="n"/>
      <c r="E10" s="9" t="n"/>
      <c r="F10" s="9" t="n"/>
      <c r="G10" s="9" t="n"/>
      <c r="H10" s="9" t="n"/>
    </row>
    <row r="11">
      <c r="A11" s="9" t="n"/>
      <c r="B11" s="11" t="inlineStr">
        <is>
          <t>DM para e-mail</t>
        </is>
      </c>
      <c r="C11" s="9" t="n"/>
      <c r="D11" s="9" t="n"/>
      <c r="E11" s="9" t="n"/>
      <c r="F11" s="9" t="n"/>
      <c r="G11" s="9" t="n"/>
      <c r="H11"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2026-10-23T17:19:42Z</dcterms:created>
  <dcterms:modified xmlns:dcterms="http://purl.org/dc/terms/" xmlns:xsi="http://www.w3.org/2001/XMLSchema-instance" xsi:type="dcterms:W3CDTF">2026-10-23T17:19:42Z</dcterms:modified>
</cp:coreProperties>
</file>