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30" customHeight="1">
      <c r="A3" s="2" t="inlineStr">
        <is>
          <t>AS CAMADAS (ler primeiro)</t>
        </is>
      </c>
      <c r="B3" s="3" t="inlineStr">
        <is>
          <t>O PRINCIPAL DA SEMANA é transformar seguidor em base (e-mail). O número que mais importa: e-mails novos + cliques na newsletter.</t>
        </is>
      </c>
    </row>
    <row r="4" ht="30" customHeight="1">
      <c r="A4" s="2" t="inlineStr">
        <is>
          <t>CAMADA 1 · O CENTRO</t>
        </is>
      </c>
      <c r="B4" s="3" t="inlineStr">
        <is>
          <t>Tema da semana (vem da live) → NEWSLETTER. É o produto da semana e o que mantém a base quente.</t>
        </is>
      </c>
    </row>
    <row r="5" ht="30" customHeight="1">
      <c r="A5" s="2" t="inlineStr">
        <is>
          <t>CAMADA 2 · A PONTE</t>
        </is>
      </c>
      <c r="B5" s="3" t="inlineStr">
        <is>
          <t>Criativo de captura ("comenta e recebe"). Leva a pessoa do Instagram para dentro da base.</t>
        </is>
      </c>
    </row>
    <row r="6" ht="45" customHeight="1">
      <c r="A6" s="2" t="inlineStr">
        <is>
          <t>CAMADA 3 · O COMBUSTÍVEL</t>
        </is>
      </c>
      <c r="B6" s="3" t="inlineStr">
        <is>
          <t>Reels e carrosséis. Atraem gente nova e aquecem quem já segue. Uns 3 por semana no tema da semana; o resto nos assuntos fixos ligados às formações (para o perfil não ficar repetitivo).</t>
        </is>
      </c>
    </row>
    <row r="7" ht="60" customHeight="1">
      <c r="A7" s="2" t="inlineStr">
        <is>
          <t>CARROSSEL DA NEWSLETTER</t>
        </is>
      </c>
      <c r="B7"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8" ht="75" customHeight="1">
      <c r="A8" s="2" t="inlineStr">
        <is>
          <t>COMO SOMOS MEDIDOS (3 níveis)</t>
        </is>
      </c>
      <c r="B8" s="3" t="inlineStr">
        <is>
          <t>1) TODA SEMANA, ENTREGAS (aba 3): fiz o que combinei? Meta 100%. 2) TODA SEMANA, KPIs (aba 5): os números que mostram se a operação está saudável (seguidores novos, engajados, e-mails novos, cliques). Eu trago e comparo com a semana anterior. 3) TODO MÊS, OKR (aba 2): a meta de RESULTADO do mês. É o que diz se o trabalho trouxe resultado. E em cada peça, o PLACAR (aba 4): gancho, retenção e conversão de cada reel e carrossel.</t>
        </is>
      </c>
    </row>
    <row r="9" ht="30" customHeight="1">
      <c r="A9" s="2" t="inlineStr">
        <is>
          <t>OKR x KPI</t>
        </is>
      </c>
      <c r="B9" s="3" t="inlineStr">
        <is>
          <t>OKR é o que queremos MUDAR no mês (crescer a base, aumentar cliques). KPI é o que não podemos deixar PIORAR toda semana. OKR muda a cada mês; KPI é sempre o mesmo painel.</t>
        </is>
      </c>
    </row>
    <row r="10" ht="30" customHeight="1">
      <c r="A10" s="2" t="inlineStr">
        <is>
          <t>VISÃO</t>
        </is>
      </c>
      <c r="B10" s="3" t="inlineStr">
        <is>
          <t>Reaquecer a base da FSA e deixá-la pronta para a próxima oferta. Instagram atrai e aquece; e-mail (newsletter) é a base que é nossa.</t>
        </is>
      </c>
    </row>
    <row r="11" ht="30" customHeight="1">
      <c r="A11" s="2" t="inlineStr">
        <is>
          <t>RESPONSÁVEL</t>
        </is>
      </c>
      <c r="B11" s="3" t="inlineStr">
        <is>
          <t>Uma pessoa: roteiros de reels, carrosséis, newsletter e criativo de captura. Ajuda na copy quando a Gisele pedir.</t>
        </is>
      </c>
    </row>
    <row r="12" ht="30" customHeight="1">
      <c r="A12" s="2" t="inlineStr">
        <is>
          <t>QUEM APARECE</t>
        </is>
      </c>
      <c r="B12" s="3" t="inlineStr">
        <is>
          <t>Reels e carrosséis divididos entre o Gabriel de Carvalho e a professora Liliane. Ela distribui entre os dois.</t>
        </is>
      </c>
    </row>
    <row r="13" ht="30" customHeight="1">
      <c r="A13" s="2" t="inlineStr">
        <is>
          <t>O CENTRO DA SEMANA</t>
        </is>
      </c>
      <c r="B13" s="3" t="inlineStr">
        <is>
          <t>A live semanal (aberta para toda a base). O tema da live vira a newsletter da semana. NÃO usar cortes da live como reels.</t>
        </is>
      </c>
    </row>
    <row r="14" ht="30" customHeight="1">
      <c r="A14" s="2" t="inlineStr">
        <is>
          <t>ENTREGAS DA SEMANA</t>
        </is>
      </c>
      <c r="B14" s="3" t="inlineStr">
        <is>
          <t>5 roteiros de reels + 4 carrosséis + 1 newsletter. Um dos reels ou carrosséis é o criativo de captura ("comenta X e recebe Y").</t>
        </is>
      </c>
    </row>
    <row r="15" ht="45" customHeight="1">
      <c r="A15" s="2" t="inlineStr">
        <is>
          <t>CRIATIVO DE CAPTURA (rodízio)</t>
        </is>
      </c>
      <c r="B15" s="3" t="inlineStr">
        <is>
          <t>Semana 1: fica na DM (engajamento). Semana 2: DM pede o e-mail e o material chega por e-mail (base). Semana 3: carrossel com o tema da newsletter + convite "comenta NEWS". Semana 4: DM para e-mail com material de outra formação.</t>
        </is>
      </c>
    </row>
    <row r="16" ht="45" customHeight="1">
      <c r="A16" s="2" t="inlineStr">
        <is>
          <t>MATERIAL DE CAPTURA</t>
        </is>
      </c>
      <c r="B16" s="3" t="inlineStr">
        <is>
          <t>Sempre ligado a uma formação (exames, suplementação, hormonal, fertilidade, jejum, alergias). Nada genérico. Conteúdo técnico tirado do material da FSA (live ou aula), nunca de fonte de fora sem checar.</t>
        </is>
      </c>
    </row>
    <row r="17" ht="60" customHeight="1">
      <c r="A17" s="2" t="inlineStr">
        <is>
          <t>ROTINA (D = dia da live)</t>
        </is>
      </c>
      <c r="B17" s="3" t="inlineStr">
        <is>
          <t>D+1: transcrição (Descript) e rascunho da newsletter. SEXTA-FEIRA: manda numa mensagem só o PACOTE DA PRÓXIMA SEMANA (roteiros, carrosséis, newsletter, captura) + o RELATÓRIO DA SEMANA (aba 5 preenchida). Segunda a quinta: produz, publica e preenche o placar (aba 4). Newsletter: escrita a partir da live, enviada até 2 dias depois dela.</t>
        </is>
      </c>
    </row>
    <row r="18" ht="45" customHeight="1">
      <c r="A18" s="2" t="inlineStr">
        <is>
          <t>IMAGENS (responsabilidade dela)</t>
        </is>
      </c>
      <c r="B18" s="3" t="inlineStr">
        <is>
          <t>Todo roteiro e carrossel sai com as imagens escolhidas, não só o texto. Imagem REAL, nunca de IA: professores, aulas, bastidores, prova (depoimentos e prints de alunos), e imagem daquilo que se está falando (o exame, o suplemento, o alimento). Muita imagem.</t>
        </is>
      </c>
    </row>
    <row r="19" ht="30" customHeight="1">
      <c r="A19" s="2" t="inlineStr">
        <is>
          <t>BANCO DE IMAGENS</t>
        </is>
      </c>
      <c r="B19" s="3" t="inlineStr">
        <is>
          <t>Usar primeiro os bancos próprios da FSA (fotos e vídeos de professores, aulas, bastidores, prova). O Elements só para o que é genérico (alimento, laboratório, fundo).</t>
        </is>
      </c>
    </row>
    <row r="20" ht="30" customHeight="1">
      <c r="A20" s="2" t="inlineStr">
        <is>
          <t>ARTE DO CARROSSEL</t>
        </is>
      </c>
      <c r="B20" s="3" t="inlineStr">
        <is>
          <t>A Claude monta o carrossel (skill carrossel FSA) a partir do texto e das fotos que ELA envia. Nenhuma imagem é gerada por IA: as fotos vêm sempre dos bancos da FSA ou do Elements.</t>
        </is>
      </c>
    </row>
    <row r="21" ht="30" customHeight="1">
      <c r="A21" s="2" t="inlineStr">
        <is>
          <t>AUTORIZAÇÃO DE IMAGEM</t>
        </is>
      </c>
      <c r="B21" s="3" t="inlineStr">
        <is>
          <t>Depoimento e print de aluno só com autorização. Exame de paciente só sem nome, data de nascimento ou qualquer dado que identifique.</t>
        </is>
      </c>
    </row>
    <row r="22" ht="30" customHeight="1">
      <c r="A22" s="2" t="inlineStr">
        <is>
          <t>APROVAÇÃO</t>
        </is>
      </c>
      <c r="B22" s="3" t="inlineStr">
        <is>
          <t>Tudo passa pela Gisele antes de sair, em LOTE, uma vez por semana: na SEXTA, o pacote da semana seguinte. A primeira entrega é na segunda-feira, 26/10.</t>
        </is>
      </c>
    </row>
    <row r="23" ht="30" customHeight="1">
      <c r="A23" s="2" t="inlineStr">
        <is>
          <t>PRIORIDADE SE O TEMPO APERTAR</t>
        </is>
      </c>
      <c r="B23" s="3" t="inlineStr">
        <is>
          <t>1) Newsletter  2) Criativo de captura  3) Carrosséis  4) Reels</t>
        </is>
      </c>
    </row>
    <row r="24" ht="30" customHeight="1">
      <c r="A24" s="2" t="inlineStr">
        <is>
          <t>A META É RESULTADO</t>
        </is>
      </c>
      <c r="B24" s="3" t="inlineStr">
        <is>
          <t>Toda peça tem placar (aba 4). Gancho, retenção e conversão são medidos em cada reel. Não basta entregar: tem que superar a própria média.</t>
        </is>
      </c>
    </row>
    <row r="25" ht="30" customHeight="1">
      <c r="A25" s="2" t="inlineStr">
        <is>
          <t>TODA SEMANA, 3 LINHAS</t>
        </is>
      </c>
      <c r="B25" s="3" t="inlineStr">
        <is>
          <t>O que funcionou. O que não funcionou. O que vou testar na semana que vem. (aba 5)</t>
        </is>
      </c>
    </row>
    <row r="26" ht="45" customHeight="1">
      <c r="A26" s="2" t="inlineStr">
        <is>
          <t>REGRAS QUE NÃO MUDAM</t>
        </is>
      </c>
      <c r="B26" s="3" t="inlineStr">
        <is>
          <t>Mesma mensagem da página de destino em toda peça de campanha. Fatos com fonte. Sem promessa de cura ou resultado. Respeitar as regras do conselho. Sem travessão. Português do Brasil.</t>
        </is>
      </c>
    </row>
    <row r="27" ht="45" customHeight="1">
      <c r="A27" s="2" t="inlineStr">
        <is>
          <t>BASE DE E-MAIL</t>
        </is>
      </c>
      <c r="B27"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Reaquecer a base da FSA e deixá-la pronta para a próxima oferta.</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Gancho e retenção dos reels</t>
        </is>
      </c>
      <c r="B6" s="8" t="inlineStr">
        <is>
          <t>% dos reels do mês com retenção (tempo médio ÷ duração) acima da linha de base</t>
        </is>
      </c>
      <c r="C6" s="9" t="n"/>
      <c r="D6" s="9" t="n"/>
      <c r="E6" s="9" t="n"/>
      <c r="F6" s="10">
        <f>IFERROR(E6/D6,"")</f>
        <v/>
      </c>
      <c r="G6" s="11" t="n"/>
    </row>
    <row r="7" ht="32" customHeight="1">
      <c r="A7" s="7" t="inlineStr">
        <is>
          <t>KR2. Base nova vinda do Instagram</t>
        </is>
      </c>
      <c r="B7" s="8" t="inlineStr">
        <is>
          <t>E-mails novos gerados pelos criativos de captura no mês</t>
        </is>
      </c>
      <c r="C7" s="9" t="n"/>
      <c r="D7" s="9" t="n"/>
      <c r="E7" s="9" t="n"/>
      <c r="F7" s="10">
        <f>IFERROR(E7/D7,"")</f>
        <v/>
      </c>
      <c r="G7" s="11" t="n"/>
    </row>
    <row r="8" ht="32" customHeight="1">
      <c r="A8" s="7" t="inlineStr">
        <is>
          <t>KR3. Engajamento que importa</t>
        </is>
      </c>
      <c r="B8" s="8" t="inlineStr">
        <is>
          <t>(Comentários + salvamentos + compartilhamentos) ÷ alcance, média do mês</t>
        </is>
      </c>
      <c r="C8" s="9" t="n"/>
      <c r="D8" s="9" t="n"/>
      <c r="E8" s="9" t="n"/>
      <c r="F8" s="10">
        <f>IFERROR(E8/D8,"")</f>
        <v/>
      </c>
      <c r="G8" s="11" t="n"/>
    </row>
    <row r="9" ht="32" customHeight="1">
      <c r="A9" s="7" t="inlineStr">
        <is>
          <t>KR4. Newsletter viva</t>
        </is>
      </c>
      <c r="B9" s="8" t="inlineStr">
        <is>
          <t>Taxa média de cliques das newsletters do mês</t>
        </is>
      </c>
      <c r="C9" s="9" t="n"/>
      <c r="D9" s="9" t="n"/>
      <c r="E9" s="9" t="n"/>
      <c r="F9" s="10">
        <f>IFERROR(E9/D9,"")</f>
        <v/>
      </c>
      <c r="G9" s="11" t="n"/>
    </row>
    <row r="10" ht="32" customHeight="1">
      <c r="A10" s="7" t="inlineStr">
        <is>
          <t>KR5. Base reativada</t>
        </is>
      </c>
      <c r="B10" s="8" t="inlineStr">
        <is>
          <t>Contatos parados que voltaram a abrir ou clicar no mês</t>
        </is>
      </c>
      <c r="C10" s="9" t="n"/>
      <c r="D10" s="9" t="n"/>
      <c r="E10" s="9" t="n"/>
      <c r="F10" s="10">
        <f>IFERROR(E10/D10,"")</f>
        <v/>
      </c>
      <c r="G10" s="11" t="n"/>
    </row>
    <row r="12">
      <c r="A12" s="5" t="inlineStr">
        <is>
          <t>Indicador de apoio (não é meta):</t>
        </is>
      </c>
      <c r="B12" s="3" t="inlineStr">
        <is>
          <t>Seguidores novos no mês. Acompanhar, mas não perseguir: meta de seguidor puxa conteúdo que viraliza e não vende.</t>
        </is>
      </c>
    </row>
    <row r="14">
      <c r="A14" s="5" t="inlineStr">
        <is>
          <t>Regra:</t>
        </is>
      </c>
      <c r="B14"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row>
    <row r="4">
      <c r="A4" s="9" t="n"/>
      <c r="B4" s="9" t="n"/>
      <c r="C4" s="9" t="n"/>
      <c r="D4" s="9" t="n"/>
      <c r="E4" s="9" t="n"/>
      <c r="F4" s="9" t="n"/>
      <c r="G4" s="12">
        <f>IF(A4="","",(MIN(B4,5)+MIN(C4,4)+MIN(D4,1)+MIN(E4,1))/11)</f>
        <v/>
      </c>
      <c r="H4" s="9" t="n"/>
      <c r="I4" s="9" t="n"/>
    </row>
    <row r="5">
      <c r="A5" s="9" t="n"/>
      <c r="B5" s="9" t="n"/>
      <c r="C5" s="9" t="n"/>
      <c r="D5" s="9" t="n"/>
      <c r="E5" s="9" t="n"/>
      <c r="F5" s="9" t="n"/>
      <c r="G5" s="12">
        <f>IF(A5="","",(MIN(B5,5)+MIN(C5,4)+MIN(D5,1)+MIN(E5,1))/11)</f>
        <v/>
      </c>
      <c r="H5" s="9" t="n"/>
      <c r="I5" s="9" t="n"/>
    </row>
    <row r="6">
      <c r="A6" s="9" t="n"/>
      <c r="B6" s="9" t="n"/>
      <c r="C6" s="9" t="n"/>
      <c r="D6" s="9" t="n"/>
      <c r="E6" s="9" t="n"/>
      <c r="F6" s="9" t="n"/>
      <c r="G6" s="12">
        <f>IF(A6="","",(MIN(B6,5)+MIN(C6,4)+MIN(D6,1)+MIN(E6,1))/11)</f>
        <v/>
      </c>
      <c r="H6" s="9" t="n"/>
      <c r="I6" s="9" t="n"/>
    </row>
    <row r="7">
      <c r="A7" s="9" t="n"/>
      <c r="B7" s="9" t="n"/>
      <c r="C7" s="9" t="n"/>
      <c r="D7" s="9" t="n"/>
      <c r="E7" s="9" t="n"/>
      <c r="F7" s="9" t="n"/>
      <c r="G7" s="12">
        <f>IF(A7="","",(MIN(B7,5)+MIN(C7,4)+MIN(D7,1)+MIN(E7,1))/11)</f>
        <v/>
      </c>
      <c r="H7" s="9" t="n"/>
      <c r="I7" s="9" t="n"/>
    </row>
    <row r="8">
      <c r="A8" s="9" t="n"/>
      <c r="B8" s="9" t="n"/>
      <c r="C8" s="9" t="n"/>
      <c r="D8" s="9" t="n"/>
      <c r="E8" s="9" t="n"/>
      <c r="F8" s="9" t="n"/>
      <c r="G8" s="12">
        <f>IF(A8="","",(MIN(B8,5)+MIN(C8,4)+MIN(D8,1)+MIN(E8,1))/11)</f>
        <v/>
      </c>
      <c r="H8" s="9" t="n"/>
      <c r="I8" s="9" t="n"/>
    </row>
    <row r="9">
      <c r="A9" s="9" t="n"/>
      <c r="B9" s="9" t="n"/>
      <c r="C9" s="9" t="n"/>
      <c r="D9" s="9" t="n"/>
      <c r="E9" s="9" t="n"/>
      <c r="F9" s="9" t="n"/>
      <c r="G9" s="12">
        <f>IF(A9="","",(MIN(B9,5)+MIN(C9,4)+MIN(D9,1)+MIN(E9,1))/11)</f>
        <v/>
      </c>
      <c r="H9" s="9" t="n"/>
      <c r="I9" s="9" t="n"/>
    </row>
    <row r="10">
      <c r="A10" s="9" t="n"/>
      <c r="B10" s="9" t="n"/>
      <c r="C10" s="9" t="n"/>
      <c r="D10" s="9" t="n"/>
      <c r="E10" s="9" t="n"/>
      <c r="F10" s="9" t="n"/>
      <c r="G10" s="12">
        <f>IF(A10="","",(MIN(B10,5)+MIN(C10,4)+MIN(D10,1)+MIN(E10,1))/11)</f>
        <v/>
      </c>
      <c r="H10" s="9" t="n"/>
      <c r="I10" s="9" t="n"/>
    </row>
    <row r="11">
      <c r="A11" s="9" t="n"/>
      <c r="B11" s="9" t="n"/>
      <c r="C11" s="9" t="n"/>
      <c r="D11" s="9" t="n"/>
      <c r="E11" s="9" t="n"/>
      <c r="F11" s="9" t="n"/>
      <c r="G11" s="12">
        <f>IF(A11="","",(MIN(B11,5)+MIN(C11,4)+MIN(D11,1)+MIN(E11,1))/11)</f>
        <v/>
      </c>
      <c r="H11" s="9" t="n"/>
      <c r="I11" s="9" t="n"/>
    </row>
    <row r="12">
      <c r="A12" s="9" t="n"/>
      <c r="B12" s="9" t="n"/>
      <c r="C12" s="9" t="n"/>
      <c r="D12" s="9" t="n"/>
      <c r="E12" s="9" t="n"/>
      <c r="F12" s="9" t="n"/>
      <c r="G12" s="12">
        <f>IF(A12="","",(MIN(B12,5)+MIN(C12,4)+MIN(D12,1)+MIN(E12,1))/11)</f>
        <v/>
      </c>
      <c r="H12" s="9" t="n"/>
      <c r="I12" s="9" t="n"/>
    </row>
    <row r="13">
      <c r="A13" s="9" t="n"/>
      <c r="B13" s="9" t="n"/>
      <c r="C13" s="9" t="n"/>
      <c r="D13" s="9" t="n"/>
      <c r="E13" s="9" t="n"/>
      <c r="F13" s="9" t="n"/>
      <c r="G13" s="12">
        <f>IF(A13="","",(MIN(B13,5)+MIN(C13,4)+MIN(D13,1)+MIN(E13,1))/11)</f>
        <v/>
      </c>
      <c r="H13" s="9" t="n"/>
      <c r="I13" s="9" t="n"/>
    </row>
    <row r="14">
      <c r="A14" s="9" t="n"/>
      <c r="B14" s="9" t="n"/>
      <c r="C14" s="9" t="n"/>
      <c r="D14" s="9" t="n"/>
      <c r="E14" s="9" t="n"/>
      <c r="F14" s="9" t="n"/>
      <c r="G14" s="12">
        <f>IF(A14="","",(MIN(B14,5)+MIN(C14,4)+MIN(D14,1)+MIN(E14,1))/11)</f>
        <v/>
      </c>
      <c r="H14" s="9" t="n"/>
      <c r="I14" s="9" t="n"/>
    </row>
    <row r="15">
      <c r="A15" s="9" t="n"/>
      <c r="B15" s="9" t="n"/>
      <c r="C15" s="9" t="n"/>
      <c r="D15" s="9" t="n"/>
      <c r="E15" s="9" t="n"/>
      <c r="F15" s="9" t="n"/>
      <c r="G15" s="12">
        <f>IF(A15="","",(MIN(B15,5)+MIN(C15,4)+MIN(D15,1)+MIN(E15,1))/11)</f>
        <v/>
      </c>
      <c r="H15" s="9" t="n"/>
      <c r="I15" s="9" t="n"/>
    </row>
    <row r="16">
      <c r="A16" s="9" t="n"/>
      <c r="B16" s="9" t="n"/>
      <c r="C16" s="9" t="n"/>
      <c r="D16" s="9" t="n"/>
      <c r="E16" s="9" t="n"/>
      <c r="F16" s="9" t="n"/>
      <c r="G16" s="12">
        <f>IF(A16="","",(MIN(B16,5)+MIN(C16,4)+MIN(D16,1)+MIN(E16,1))/11)</f>
        <v/>
      </c>
      <c r="H16" s="9" t="n"/>
      <c r="I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34" customWidth="1" min="12" max="12"/>
    <col width="34" customWidth="1" min="13" max="13"/>
    <col width="34" customWidth="1" min="14" max="14"/>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O que funcionou</t>
        </is>
      </c>
      <c r="M3" s="6" t="inlineStr">
        <is>
          <t>O que não funcionou</t>
        </is>
      </c>
      <c r="N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17" t="n"/>
      <c r="M4" s="17" t="n"/>
      <c r="N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17" t="n"/>
      <c r="M5" s="17" t="n"/>
      <c r="N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17" t="n"/>
      <c r="M6" s="17" t="n"/>
      <c r="N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17" t="n"/>
      <c r="M7" s="17" t="n"/>
      <c r="N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17" t="n"/>
      <c r="M8" s="17" t="n"/>
      <c r="N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17" t="n"/>
      <c r="M9" s="17" t="n"/>
      <c r="N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17" t="n"/>
      <c r="M10" s="17" t="n"/>
      <c r="N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17" t="n"/>
      <c r="M11" s="17" t="n"/>
      <c r="N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17" t="n"/>
      <c r="M12" s="17" t="n"/>
      <c r="N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17" t="n"/>
      <c r="M13" s="17" t="n"/>
      <c r="N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17" t="n"/>
      <c r="M14" s="17" t="n"/>
      <c r="N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17" t="n"/>
      <c r="M15" s="17" t="n"/>
      <c r="N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17" t="n"/>
      <c r="M16" s="17" t="n"/>
      <c r="N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2026-10-23T17:10:24Z</dcterms:created>
  <dcterms:modified xmlns:dcterms="http://purl.org/dc/terms/" xmlns:xsi="http://www.w3.org/2001/XMLSchema-instance" xsi:type="dcterms:W3CDTF">2026-10-23T17:10:24Z</dcterms:modified>
</cp:coreProperties>
</file>