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Como funciona" sheetId="1" state="visible" r:id="rId1"/>
    <sheet xmlns:r="http://schemas.openxmlformats.org/officeDocument/2006/relationships" name="2. OKR do mês" sheetId="2" state="visible" r:id="rId2"/>
    <sheet xmlns:r="http://schemas.openxmlformats.org/officeDocument/2006/relationships" name="3. Entregas da semana" sheetId="3" state="visible" r:id="rId3"/>
    <sheet xmlns:r="http://schemas.openxmlformats.org/officeDocument/2006/relationships" name="4. Placar por peça" sheetId="4" state="visible" r:id="rId4"/>
    <sheet xmlns:r="http://schemas.openxmlformats.org/officeDocument/2006/relationships" name="5. KPIs da semana" sheetId="5" state="visible" r:id="rId5"/>
    <sheet xmlns:r="http://schemas.openxmlformats.org/officeDocument/2006/relationships" name="6. Checklist do roteiro" sheetId="6" state="visible" r:id="rId6"/>
    <sheet xmlns:r="http://schemas.openxmlformats.org/officeDocument/2006/relationships" name="7. Calendário de captura" sheetId="7" state="visible" r:id="rId7"/>
    <sheet xmlns:r="http://schemas.openxmlformats.org/officeDocument/2006/relationships" name="8. Produto da semana" sheetId="8" state="visible" r:id="rId8"/>
    <sheet xmlns:r="http://schemas.openxmlformats.org/officeDocument/2006/relationships" name="9. Stories de venda"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C2185B"/>
      <sz val="16"/>
    </font>
    <font>
      <b val="1"/>
    </font>
    <font>
      <b val="1"/>
      <color rgb="00FFFFFF"/>
    </font>
  </fonts>
  <fills count="5">
    <fill>
      <patternFill/>
    </fill>
    <fill>
      <patternFill patternType="gray125"/>
    </fill>
    <fill>
      <patternFill patternType="solid">
        <fgColor rgb="00FFF4E5"/>
      </patternFill>
    </fill>
    <fill>
      <patternFill patternType="solid">
        <fgColor rgb="00241A21"/>
      </patternFill>
    </fill>
    <fill>
      <patternFill patternType="solid">
        <fgColor rgb="00EEF4F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0" fillId="2" borderId="0" pivotButton="0" quotePrefix="0" xfId="0"/>
    <xf numFmtId="0" fontId="2" fillId="0" borderId="0" pivotButton="0" quotePrefix="0" xfId="0"/>
    <xf numFmtId="0" fontId="3" fillId="3" borderId="1" applyAlignment="1" pivotButton="0" quotePrefix="0" xfId="0">
      <alignment vertical="center" wrapText="1"/>
    </xf>
    <xf numFmtId="0" fontId="2" fillId="0" borderId="1" pivotButton="0" quotePrefix="0" xfId="0"/>
    <xf numFmtId="0" fontId="0" fillId="0" borderId="1" applyAlignment="1" pivotButton="0" quotePrefix="0" xfId="0">
      <alignment vertical="top" wrapText="1"/>
    </xf>
    <xf numFmtId="0" fontId="0" fillId="2" borderId="1" pivotButton="0" quotePrefix="0" xfId="0"/>
    <xf numFmtId="9" fontId="0" fillId="0" borderId="1" pivotButton="0" quotePrefix="0" xfId="0"/>
    <xf numFmtId="0" fontId="0" fillId="0" borderId="1" pivotButton="0" quotePrefix="0" xfId="0"/>
    <xf numFmtId="9" fontId="0" fillId="4" borderId="1" pivotButton="0" quotePrefix="0" xfId="0"/>
    <xf numFmtId="9" fontId="0" fillId="2" borderId="0" pivotButton="0" quotePrefix="0" xfId="0"/>
    <xf numFmtId="164" fontId="0" fillId="2" borderId="0" pivotButton="0" quotePrefix="0" xfId="0"/>
    <xf numFmtId="164" fontId="0" fillId="4" borderId="1" pivotButton="0" quotePrefix="0" xfId="0"/>
    <xf numFmtId="0" fontId="0" fillId="4" borderId="1" pivotButton="0" quotePrefix="0" xfId="0"/>
    <xf numFmtId="0" fontId="0"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95" customWidth="1" min="2" max="2"/>
  </cols>
  <sheetData>
    <row r="1">
      <c r="A1" s="1" t="inlineStr">
        <is>
          <t>Conteúdo e Base FSA · Como funciona</t>
        </is>
      </c>
    </row>
    <row r="3" ht="45" customHeight="1">
      <c r="A3" s="2" t="inlineStr">
        <is>
          <t>OBJETIVO FINAL (ler primeiro)</t>
        </is>
      </c>
      <c r="B3" s="3" t="inlineStr">
        <is>
          <t>VENDA. Tudo existe para vender mais: alcance e engajamento trazem gente nova; a base aquecida (seguidores que confiam + e-mail) é quem compra. Venda ← base aquecida ← alcance e engajamento.</t>
        </is>
      </c>
    </row>
    <row r="4" ht="30" customHeight="1">
      <c r="A4" s="2" t="inlineStr">
        <is>
          <t>AS CAMADAS</t>
        </is>
      </c>
      <c r="B4" s="3" t="inlineStr">
        <is>
          <t>No dia a dia, o trabalho principal é transformar seguidor em base (e-mail) e aquecer essa base. Mas toda semana também tem venda (ver RITMO DE VENDA).</t>
        </is>
      </c>
    </row>
    <row r="5" ht="30" customHeight="1">
      <c r="A5" s="2" t="inlineStr">
        <is>
          <t>CAMADA 1 · O CENTRO</t>
        </is>
      </c>
      <c r="B5" s="3" t="inlineStr">
        <is>
          <t>Tema da semana (vem da live) → NEWSLETTER. É o produto da semana e o que mantém a base quente.</t>
        </is>
      </c>
    </row>
    <row r="6" ht="30" customHeight="1">
      <c r="A6" s="2" t="inlineStr">
        <is>
          <t>CAMADA 2 · A PONTE</t>
        </is>
      </c>
      <c r="B6" s="3" t="inlineStr">
        <is>
          <t>Criativo de captura ("comenta e recebe"). Leva a pessoa do Instagram para dentro da base.</t>
        </is>
      </c>
    </row>
    <row r="7" ht="45" customHeight="1">
      <c r="A7" s="2" t="inlineStr">
        <is>
          <t>CAMADA 3 · O COMBUSTÍVEL</t>
        </is>
      </c>
      <c r="B7" s="3" t="inlineStr">
        <is>
          <t>Reels, carrosséis e YouTube. Atraem gente nova e aquecem quem já segue. Uns 3 por semana no tema da semana; o resto nos assuntos fixos ligados às formações (para o perfil não ficar repetitivo).</t>
        </is>
      </c>
    </row>
    <row r="8" ht="60" customHeight="1">
      <c r="A8" s="2" t="inlineStr">
        <is>
          <t>CARROSSEL DA NEWSLETTER</t>
        </is>
      </c>
      <c r="B8" s="3" t="inlineStr">
        <is>
          <t>NUNCA abrir com "o tema da newsletter desta semana". A capa é a ideia mais surpreendente que está DENTRO da newsletter, algo que quebra a cabeça e faz rolar. Só no último slide a pessoa descobre que aquilo é um pedaço da newsletter: "Isso saiu na nossa newsletter desta semana. Quer receber as próximas? Comenta NEWS."</t>
        </is>
      </c>
    </row>
    <row r="9" ht="75" customHeight="1">
      <c r="A9" s="2" t="inlineStr">
        <is>
          <t>COMO SOMOS MEDIDOS (3 níveis)</t>
        </is>
      </c>
      <c r="B9" s="3" t="inlineStr">
        <is>
          <t>1) TODA SEMANA, ENTREGAS (aba 3): fiz o que combinei? Meta 100%. 2) TODA SEMANA, KPIs (aba 5): os números que mostram se a operação está saudável (seguidores novos, engajados, e-mails novos, cliques). Eu trago e comparo com a semana anterior. 3) TODO MÊS, OKR (aba 2): a meta de RESULTADO do mês. É o que diz se o trabalho trouxe resultado. E em cada peça, o PLACAR (aba 4): gancho, retenção e conversão de cada reel e carrossel.</t>
        </is>
      </c>
    </row>
    <row r="10" ht="30" customHeight="1">
      <c r="A10" s="2" t="inlineStr">
        <is>
          <t>OKR x KPI</t>
        </is>
      </c>
      <c r="B10" s="3" t="inlineStr">
        <is>
          <t>OKR é o que queremos MUDAR no mês (crescer a base, aumentar cliques). KPI é o que não podemos deixar PIORAR toda semana. OKR muda a cada mês; KPI é sempre o mesmo painel.</t>
        </is>
      </c>
    </row>
    <row r="11" ht="60" customHeight="1">
      <c r="A11" s="2" t="inlineStr">
        <is>
          <t>RITMO DE VENDA</t>
        </is>
      </c>
      <c r="B11" s="3" t="inlineStr">
        <is>
          <t>Toda semana tem venda. Feed: das 9 peças, 2 são de venda (caso real, depoimento, "isso a gente ensina na formação X"), umas 7 são conteúdo. Stories: sequência de venda 3 vezes por semana (seg, qua, sex), seguindo as regras. Newsletter: sempre com o bloco da formação ligada ao tema. YouTube: link da formação na descrição.</t>
        </is>
      </c>
    </row>
    <row r="12" ht="60" customHeight="1">
      <c r="A12" s="2" t="inlineStr">
        <is>
          <t>PRODUTO DA SEMANA</t>
        </is>
      </c>
      <c r="B12" s="3" t="inlineStr">
        <is>
          <t>Depois da Black, a FSA vende tudo o que tem, sem oferta: 2 pós, 7 cursos e a mentoria. Cada semana tem UM produto em destaque, ligado ao tema da live (live de exames → formação de exames). É esse produto que aparece nas 2 peças de venda, no story de venda e no bloco da newsletter. Calendário na aba 8.</t>
        </is>
      </c>
    </row>
    <row r="13" ht="45" customHeight="1">
      <c r="A13" s="2" t="inlineStr">
        <is>
          <t>DEPOIS DA BLACK (01/11 em diante)</t>
        </is>
      </c>
      <c r="B13" s="3" t="inlineStr">
        <is>
          <t>As 2 primeiras semanas de novembro são só conteúdo, sem venda: a base acabou de receber muita oferta. A venda contínua começa na 3ª semana. Nada de desconto nem "última chance": preço cheio, valor explicado.</t>
        </is>
      </c>
    </row>
    <row r="14" ht="30" customHeight="1">
      <c r="A14" s="2" t="inlineStr">
        <is>
          <t>MENTORIA</t>
        </is>
      </c>
      <c r="B14" s="3" t="inlineStr">
        <is>
          <t>É venda de alto valor: não vai para link de compra direto. A chamada leva para conversa (aplicação ou WhatsApp). Entra como produto da semana 1 vez por mês.</t>
        </is>
      </c>
    </row>
    <row r="15" ht="45" customHeight="1">
      <c r="A15" s="2" t="inlineStr">
        <is>
          <t>STORIES (todo dia)</t>
        </is>
      </c>
      <c r="B15" s="3" t="inlineStr">
        <is>
          <t>Ela planeja e roteiriza os stories da semana; quem aparece grava. Todo dia: bastidor ou rotina, conteúdo rápido, interação (enquete, caixinha, quiz). Segunda, quarta e sexta: entra a sequência de venda (ver REGRAS DE VENDA NOS STORIES).</t>
        </is>
      </c>
    </row>
    <row r="16" ht="135" customHeight="1">
      <c r="A16" s="2" t="inlineStr">
        <is>
          <t>REGRAS DE VENDA NOS STORIES</t>
        </is>
      </c>
      <c r="B16" s="3" t="inlineStr">
        <is>
          <t>1) Venda nunca aparece sozinha: antes dela vêm pelo menos 2 stories do mesmo assunto (pergunta, caso, prova). 2) O link só entra no ÚLTIMO story da sequência. 3) No máximo 1 em cada 4 stories do dia é venda. 4) Pessoa vende melhor que arte: a venda é falada pelo Gabriel, pela Liliane ou por um aluno; a arte do produto só complementa. 5) Proibido: arte solta com "compre agora", urgência falsa ("últimas vagas" sem ser verdade), preço sem contexto. 6) Sequência completa de venda 3 vezes por semana (seg, qua, sex); nos outros dias, só conteúdo e interação, sem link de venda. Fim de semana: bastidor e leveza. 7) Quem responde enquete ou caixinha sobre o tema recebe DM: conversa vende mais que botão. Exemplos na aba 9.</t>
        </is>
      </c>
    </row>
    <row r="17" ht="45" customHeight="1">
      <c r="A17" s="2" t="inlineStr">
        <is>
          <t>LINKS COM RASTREIO</t>
        </is>
      </c>
      <c r="B17" s="3" t="inlineStr">
        <is>
          <t>Cada canal tem link próprio com rastreio (UTM): bio, stories, newsletter, YouTube. Assim a Hotmart mostra de onde veio cada venda. A pessoa das automações monta. Sem isso, não dá para saber qual conteúdo vendeu.</t>
        </is>
      </c>
    </row>
    <row r="18" ht="30" customHeight="1">
      <c r="A18" s="2" t="inlineStr">
        <is>
          <t>VISÃO</t>
        </is>
      </c>
      <c r="B18" s="3" t="inlineStr">
        <is>
          <t>Reaquecer a base da FSA e deixá-la pronta para a próxima oferta. Instagram atrai e aquece; e-mail (newsletter) é a base que é nossa.</t>
        </is>
      </c>
    </row>
    <row r="19" ht="30" customHeight="1">
      <c r="A19" s="2" t="inlineStr">
        <is>
          <t>RESPONSÁVEL</t>
        </is>
      </c>
      <c r="B19" s="3" t="inlineStr">
        <is>
          <t>Uma pessoa: roteiros de reels, carrosséis, newsletter e criativo de captura. Ajuda na copy quando a Gisele pedir.</t>
        </is>
      </c>
    </row>
    <row r="20" ht="30" customHeight="1">
      <c r="A20" s="2" t="inlineStr">
        <is>
          <t>QUEM APARECE</t>
        </is>
      </c>
      <c r="B20" s="3" t="inlineStr">
        <is>
          <t>Reels e carrosséis divididos entre o Gabriel de Carvalho e a professora Liliane. Ela distribui entre os dois.</t>
        </is>
      </c>
    </row>
    <row r="21" ht="30" customHeight="1">
      <c r="A21" s="2" t="inlineStr">
        <is>
          <t>O CENTRO DA SEMANA</t>
        </is>
      </c>
      <c r="B21" s="3" t="inlineStr">
        <is>
          <t>A live semanal (aberta para toda a base). O tema da live vira a newsletter da semana. NÃO usar cortes da live como reels.</t>
        </is>
      </c>
    </row>
    <row r="22" ht="45" customHeight="1">
      <c r="A22" s="2" t="inlineStr">
        <is>
          <t>ENTREGAS DA SEMANA</t>
        </is>
      </c>
      <c r="B22" s="3" t="inlineStr">
        <is>
          <t>5 roteiros de reels + 4 carrosséis + 1 newsletter + YouTube (5 Shorts + 1 vídeo roteirizado + a live da semana). Um dos reels ou carrosséis é o criativo de captura ("comenta X e recebe Y").</t>
        </is>
      </c>
    </row>
    <row r="23" ht="30" customHeight="1">
      <c r="A23" s="2" t="inlineStr">
        <is>
          <t>YOUTUBE: SHORTS</t>
        </is>
      </c>
      <c r="B23" s="3" t="inlineStr">
        <is>
          <t>Os 5 reels da semana sobem também como Shorts no YouTube. Sem roteiro novo: é repostar, com título próprio para o YouTube.</t>
        </is>
      </c>
    </row>
    <row r="24" ht="45" customHeight="1">
      <c r="A24" s="2" t="inlineStr">
        <is>
          <t>YOUTUBE: A LIVE DA SEMANA</t>
        </is>
      </c>
      <c r="B24" s="3" t="inlineStr">
        <is>
          <t>A gravação da live sobe no YouTube toda semana. O trabalho dela: título forte (com a palavra que a pessoa buscaria no Google), capa com foto real e texto grande, descrição com o resumo, os momentos principais e o link da newsletter. Tempo: uns 30 minutos.</t>
        </is>
      </c>
    </row>
    <row r="25" ht="60" customHeight="1">
      <c r="A25" s="2" t="inlineStr">
        <is>
          <t>YOUTUBE: VÍDEO ROTEIRIZADO</t>
        </is>
      </c>
      <c r="B25" s="3" t="inlineStr">
        <is>
          <t>1 por semana, de 8 a 15 minutos, gravado pelo Gabriel ou pela Liliane. Usa o MESMO tema da newsletter da semana, mais aprofundado: a pesquisa já está feita, então o trabalho é o roteiro. Estrutura: gancho nos primeiros 30 segundos (a promessa do vídeo), desenvolvimento em blocos, caso prático, chamada para a newsletter.</t>
        </is>
      </c>
    </row>
    <row r="26" ht="75" customHeight="1">
      <c r="A26" s="2" t="inlineStr">
        <is>
          <t>YOUTUBE: THUMB (CAPA)</t>
        </is>
      </c>
      <c r="B26" s="3" t="inlineStr">
        <is>
          <t>Toda thumb tem ROSTO, nunca só nome ou texto. Rosto grande, com expressão que chama atenção (surpresa, dúvida, preocupação, apontando). Foto real do professor, feita para a thumb. Até 4 palavras em letra grande, que completam o título sem repetir. Flecha ou círculo apontando para o elemento principal (o exame, o alimento, o número). Contraste forte. Testar se dá para ler no tamanho de celular.</t>
        </is>
      </c>
    </row>
    <row r="27" ht="45" customHeight="1">
      <c r="A27" s="2" t="inlineStr">
        <is>
          <t>YOUTUBE: O PAPEL</t>
        </is>
      </c>
      <c r="B27" s="3" t="inlineStr">
        <is>
          <t>Quem busca no YouTube quer conteúdo longo e pesquisa por assunto. Todo vídeo leva para a newsletter: link na descrição e no comentário fixado. O número que mostra se a thumb funciona é a TAXA DE CLIQUES (CTR) das impressões, no YouTube Studio.</t>
        </is>
      </c>
    </row>
    <row r="28" ht="45" customHeight="1">
      <c r="A28" s="2" t="inlineStr">
        <is>
          <t>CRIATIVO DE CAPTURA (rodízio)</t>
        </is>
      </c>
      <c r="B28" s="3" t="inlineStr">
        <is>
          <t>Semana 1: fica na DM (engajamento). Semana 2: DM pede o e-mail e o material chega por e-mail (base). Semana 3: carrossel com o tema da newsletter + convite "comenta NEWS". Semana 4: DM para e-mail com material de outra formação.</t>
        </is>
      </c>
    </row>
    <row r="29" ht="45" customHeight="1">
      <c r="A29" s="2" t="inlineStr">
        <is>
          <t>MATERIAL DE CAPTURA</t>
        </is>
      </c>
      <c r="B29" s="3" t="inlineStr">
        <is>
          <t>Sempre ligado a uma formação (exames, suplementação, hormonal, fertilidade, jejum, alergias). Nada genérico. Conteúdo técnico tirado do material da FSA (live ou aula), nunca de fonte de fora sem checar.</t>
        </is>
      </c>
    </row>
    <row r="30" ht="60" customHeight="1">
      <c r="A30" s="2" t="inlineStr">
        <is>
          <t>ROTINA (D = dia da live)</t>
        </is>
      </c>
      <c r="B30" s="3" t="inlineStr">
        <is>
          <t>D+1: transcrição (Descript) e rascunho da newsletter. SEXTA-FEIRA: manda numa mensagem só o PACOTE DA PRÓXIMA SEMANA (roteiros, carrosséis, newsletter, captura) + o RELATÓRIO DA SEMANA (aba 5 preenchida). Segunda a quinta: produz, publica e preenche o placar (aba 4). Newsletter: escrita a partir da live, enviada até 2 dias depois dela.</t>
        </is>
      </c>
    </row>
    <row r="31" ht="45" customHeight="1">
      <c r="A31" s="2" t="inlineStr">
        <is>
          <t>IMAGENS (responsabilidade dela)</t>
        </is>
      </c>
      <c r="B31" s="3" t="inlineStr">
        <is>
          <t>Todo roteiro e carrossel sai com as imagens escolhidas, não só o texto. Imagem REAL, nunca de IA: professores, aulas, bastidores, prova (depoimentos e prints de alunos), e imagem daquilo que se está falando (o exame, o suplemento, o alimento). Muita imagem.</t>
        </is>
      </c>
    </row>
    <row r="32" ht="30" customHeight="1">
      <c r="A32" s="2" t="inlineStr">
        <is>
          <t>BANCO DE IMAGENS</t>
        </is>
      </c>
      <c r="B32" s="3" t="inlineStr">
        <is>
          <t>Usar primeiro os bancos próprios da FSA (fotos e vídeos de professores, aulas, bastidores, prova). O Elements só para o que é genérico (alimento, laboratório, fundo).</t>
        </is>
      </c>
    </row>
    <row r="33" ht="30" customHeight="1">
      <c r="A33" s="2" t="inlineStr">
        <is>
          <t>ARTE DO CARROSSEL</t>
        </is>
      </c>
      <c r="B33" s="3" t="inlineStr">
        <is>
          <t>A Claude monta o carrossel (skill carrossel FSA) a partir do texto e das fotos que ELA envia. Nenhuma imagem é gerada por IA: as fotos vêm sempre dos bancos da FSA ou do Elements.</t>
        </is>
      </c>
    </row>
    <row r="34" ht="30" customHeight="1">
      <c r="A34" s="2" t="inlineStr">
        <is>
          <t>AUTORIZAÇÃO DE IMAGEM</t>
        </is>
      </c>
      <c r="B34" s="3" t="inlineStr">
        <is>
          <t>Depoimento e print de aluno só com autorização. Exame de paciente só sem nome, data de nascimento ou qualquer dado que identifique.</t>
        </is>
      </c>
    </row>
    <row r="35" ht="30" customHeight="1">
      <c r="A35" s="2" t="inlineStr">
        <is>
          <t>APROVAÇÃO</t>
        </is>
      </c>
      <c r="B35" s="3" t="inlineStr">
        <is>
          <t>Tudo passa pela Gisele antes de sair, em LOTE, uma vez por semana: na SEXTA, o pacote da semana seguinte. A primeira entrega é na segunda-feira, 26/10.</t>
        </is>
      </c>
    </row>
    <row r="36" ht="45" customHeight="1">
      <c r="A36" s="2" t="inlineStr">
        <is>
          <t>PRIORIDADE SE O TEMPO APERTAR</t>
        </is>
      </c>
      <c r="B36" s="3" t="inlineStr">
        <is>
          <t>1) Stories do dia (com o de venda)  2) Newsletter  3) As 2 peças de venda  4) Criativo de captura  5) Vídeo roteirizado do YouTube  6) Carrosséis e reels  7) Live e Shorts no YouTube</t>
        </is>
      </c>
    </row>
    <row r="37" ht="30" customHeight="1">
      <c r="A37" s="2" t="inlineStr">
        <is>
          <t>A META É RESULTADO</t>
        </is>
      </c>
      <c r="B37" s="3" t="inlineStr">
        <is>
          <t>Toda peça tem placar (aba 4). Gancho, retenção e conversão são medidos em cada reel. Não basta entregar: tem que superar a própria média.</t>
        </is>
      </c>
    </row>
    <row r="38" ht="30" customHeight="1">
      <c r="A38" s="2" t="inlineStr">
        <is>
          <t>TODA SEMANA, 3 LINHAS</t>
        </is>
      </c>
      <c r="B38" s="3" t="inlineStr">
        <is>
          <t>O que funcionou. O que não funcionou. O que vou testar na semana que vem. (aba 5)</t>
        </is>
      </c>
    </row>
    <row r="39" ht="45" customHeight="1">
      <c r="A39" s="2" t="inlineStr">
        <is>
          <t>REGRAS QUE NÃO MUDAM</t>
        </is>
      </c>
      <c r="B39" s="3" t="inlineStr">
        <is>
          <t>Mesma mensagem da página de destino em toda peça de campanha. Fatos com fonte. Sem promessa de cura ou resultado. Respeitar as regras do conselho. Sem travessão. Português do Brasil.</t>
        </is>
      </c>
    </row>
    <row r="40" ht="45" customHeight="1">
      <c r="A40" s="2" t="inlineStr">
        <is>
          <t>BASE DE E-MAIL</t>
        </is>
      </c>
      <c r="B40" s="3" t="inlineStr">
        <is>
          <t>Reaquecer em ordem: semanas 1 e 2 só para quem abriu ou clicou nos últimos 6 meses; semana 3 campanha de reativação para os parados; depois tirar do envio quem não abre há 12 meses. Spam acima de 0,1%: parar e corrigir.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34" customWidth="1" min="1" max="1"/>
    <col width="46" customWidth="1" min="2" max="2"/>
    <col width="18" customWidth="1" min="3" max="3"/>
    <col width="14" customWidth="1" min="4" max="4"/>
    <col width="14" customWidth="1" min="5" max="5"/>
    <col width="12" customWidth="1" min="6" max="6"/>
    <col width="40" customWidth="1" min="7" max="7"/>
  </cols>
  <sheetData>
    <row r="1">
      <c r="A1" s="1" t="inlineStr">
        <is>
          <t>OKR do mês</t>
        </is>
      </c>
    </row>
    <row r="2">
      <c r="A2" t="inlineStr">
        <is>
          <t>Mês:</t>
        </is>
      </c>
      <c r="B2" s="4" t="n"/>
    </row>
    <row r="3">
      <c r="A3" t="inlineStr">
        <is>
          <t>Objetivo:</t>
        </is>
      </c>
      <c r="B3" s="5" t="inlineStr">
        <is>
          <t>Vender mais com o conteúdo: crescer a audiência, aquecer a base e converter em vendas dos nossos produtos.</t>
        </is>
      </c>
    </row>
    <row r="5">
      <c r="A5" s="6" t="inlineStr">
        <is>
          <t>Resultado-chave</t>
        </is>
      </c>
      <c r="B5" s="6" t="inlineStr">
        <is>
          <t>Como medir</t>
        </is>
      </c>
      <c r="C5" s="6" t="inlineStr">
        <is>
          <t>Linha de base (mês anterior)</t>
        </is>
      </c>
      <c r="D5" s="6" t="inlineStr">
        <is>
          <t>Meta do mês</t>
        </is>
      </c>
      <c r="E5" s="6" t="inlineStr">
        <is>
          <t>Realizado</t>
        </is>
      </c>
      <c r="F5" s="6" t="inlineStr">
        <is>
          <t>% atingido</t>
        </is>
      </c>
      <c r="G5" s="6" t="inlineStr">
        <is>
          <t>Comentário</t>
        </is>
      </c>
    </row>
    <row r="6" ht="32" customHeight="1">
      <c r="A6" s="7" t="inlineStr">
        <is>
          <t>KR1. Vendas vindas do conteúdo</t>
        </is>
      </c>
      <c r="B6" s="8" t="inlineStr">
        <is>
          <t>Vendas no mês com origem em bio, stories, newsletter e YouTube (links com rastreio na Hotmart)</t>
        </is>
      </c>
      <c r="C6" s="9" t="n"/>
      <c r="D6" s="9" t="n"/>
      <c r="E6" s="9" t="n"/>
      <c r="F6" s="10">
        <f>IFERROR(E6/D6,"")</f>
        <v/>
      </c>
      <c r="G6" s="11" t="n"/>
    </row>
    <row r="7" ht="32" customHeight="1">
      <c r="A7" s="7" t="inlineStr">
        <is>
          <t>KR2. Seguidores novos</t>
        </is>
      </c>
      <c r="B7" s="8" t="inlineStr">
        <is>
          <t>Seguidores novos no mês (Instagram + inscritos no YouTube)</t>
        </is>
      </c>
      <c r="C7" s="9" t="n"/>
      <c r="D7" s="9" t="n"/>
      <c r="E7" s="9" t="n"/>
      <c r="F7" s="10">
        <f>IFERROR(E7/D7,"")</f>
        <v/>
      </c>
      <c r="G7" s="11" t="n"/>
    </row>
    <row r="8" ht="32" customHeight="1">
      <c r="A8" s="7" t="inlineStr">
        <is>
          <t>KR3. Gancho e retenção dos reels</t>
        </is>
      </c>
      <c r="B8" s="8" t="inlineStr">
        <is>
          <t>% dos reels do mês com retenção (tempo médio ÷ duração) acima da linha de base</t>
        </is>
      </c>
      <c r="C8" s="9" t="n"/>
      <c r="D8" s="9" t="n"/>
      <c r="E8" s="9" t="n"/>
      <c r="F8" s="10">
        <f>IFERROR(E8/D8,"")</f>
        <v/>
      </c>
      <c r="G8" s="11" t="n"/>
    </row>
    <row r="9" ht="32" customHeight="1">
      <c r="A9" s="7" t="inlineStr">
        <is>
          <t>KR4. Base nova vinda do Instagram</t>
        </is>
      </c>
      <c r="B9" s="8" t="inlineStr">
        <is>
          <t>E-mails novos gerados pelos criativos de captura no mês</t>
        </is>
      </c>
      <c r="C9" s="9" t="n"/>
      <c r="D9" s="9" t="n"/>
      <c r="E9" s="9" t="n"/>
      <c r="F9" s="10">
        <f>IFERROR(E9/D9,"")</f>
        <v/>
      </c>
      <c r="G9" s="11" t="n"/>
    </row>
    <row r="10" ht="32" customHeight="1">
      <c r="A10" s="7" t="inlineStr">
        <is>
          <t>KR5. Engajamento que importa</t>
        </is>
      </c>
      <c r="B10" s="8" t="inlineStr">
        <is>
          <t>(Comentários + salvamentos + compartilhamentos) ÷ alcance, média do mês</t>
        </is>
      </c>
      <c r="C10" s="9" t="n"/>
      <c r="D10" s="9" t="n"/>
      <c r="E10" s="9" t="n"/>
      <c r="F10" s="10">
        <f>IFERROR(E10/D10,"")</f>
        <v/>
      </c>
      <c r="G10" s="11" t="n"/>
    </row>
    <row r="11" ht="32" customHeight="1">
      <c r="A11" s="7" t="inlineStr">
        <is>
          <t>KR6. Newsletter viva</t>
        </is>
      </c>
      <c r="B11" s="8" t="inlineStr">
        <is>
          <t>Taxa média de cliques das newsletters do mês</t>
        </is>
      </c>
      <c r="C11" s="9" t="n"/>
      <c r="D11" s="9" t="n"/>
      <c r="E11" s="9" t="n"/>
      <c r="F11" s="10">
        <f>IFERROR(E11/D11,"")</f>
        <v/>
      </c>
      <c r="G11" s="11" t="n"/>
    </row>
    <row r="12" ht="32" customHeight="1">
      <c r="A12" s="7" t="inlineStr">
        <is>
          <t>KR7. Base reativada</t>
        </is>
      </c>
      <c r="B12" s="8" t="inlineStr">
        <is>
          <t>Contatos parados que voltaram a abrir ou clicar no mês</t>
        </is>
      </c>
      <c r="C12" s="9" t="n"/>
      <c r="D12" s="9" t="n"/>
      <c r="E12" s="9" t="n"/>
      <c r="F12" s="10">
        <f>IFERROR(E12/D12,"")</f>
        <v/>
      </c>
      <c r="G12" s="11" t="n"/>
    </row>
    <row r="15">
      <c r="A15" s="5" t="inlineStr">
        <is>
          <t>Atenção:</t>
        </is>
      </c>
      <c r="B15" s="3" t="inlineStr">
        <is>
          <t>Seguidor é meta, mas sempre junto com engajamento e venda. Seguidor que vem de conteúdo viral sem relação com a FSA não compra.</t>
        </is>
      </c>
    </row>
    <row r="17">
      <c r="A17" s="5" t="inlineStr">
        <is>
          <t>Regra:</t>
        </is>
      </c>
      <c r="B17" s="3" t="inlineStr">
        <is>
          <t>No 1º mês, as duas primeiras semanas viram a linha de base. A partir do 2º mês, a meta é superar a linha de base do mês anterior. Bater 70% do OKR já é bom resultado.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cols>
    <col width="16" customWidth="1" min="1" max="1"/>
    <col width="16" customWidth="1" min="2" max="2"/>
    <col width="14" customWidth="1" min="3" max="3"/>
    <col width="14" customWidth="1" min="4" max="4"/>
    <col width="14" customWidth="1" min="5" max="5"/>
    <col width="22" customWidth="1" min="6" max="6"/>
    <col width="12" customWidth="1" min="7" max="7"/>
    <col width="18" customWidth="1" min="8" max="8"/>
    <col width="40" customWidth="1" min="9" max="9"/>
    <col width="14" customWidth="1" min="10" max="10"/>
    <col width="14" customWidth="1" min="11" max="11"/>
    <col width="16" customWidth="1" min="12" max="12"/>
    <col width="16" customWidth="1" min="13" max="13"/>
    <col width="16" customWidth="1" min="14" max="14"/>
  </cols>
  <sheetData>
    <row r="1">
      <c r="A1" s="1" t="inlineStr">
        <is>
          <t>Entregas da semana (meta: 100%, sob controle dela)</t>
        </is>
      </c>
    </row>
    <row r="3">
      <c r="A3" s="6" t="inlineStr">
        <is>
          <t>Semana (início)</t>
        </is>
      </c>
      <c r="B3" s="6" t="inlineStr">
        <is>
          <t>Reels roteirizados (meta 5)</t>
        </is>
      </c>
      <c r="C3" s="6" t="inlineStr">
        <is>
          <t>Carrosséis (meta 4)</t>
        </is>
      </c>
      <c r="D3" s="6" t="inlineStr">
        <is>
          <t>Newsletter enviada (1)</t>
        </is>
      </c>
      <c r="E3" s="6" t="inlineStr">
        <is>
          <t>Captura publicada (1)</t>
        </is>
      </c>
      <c r="F3" s="6" t="inlineStr">
        <is>
          <t>Tipo de captura</t>
        </is>
      </c>
      <c r="G3" s="6" t="inlineStr">
        <is>
          <t>% entregue</t>
        </is>
      </c>
      <c r="H3" s="6" t="inlineStr">
        <is>
          <t>Pacote enviado p/ aprovação no prazo?</t>
        </is>
      </c>
      <c r="I3" s="6" t="inlineStr">
        <is>
          <t>Observação</t>
        </is>
      </c>
      <c r="J3" s="6" t="inlineStr">
        <is>
          <t>Shorts no YouTube (meta 5)</t>
        </is>
      </c>
      <c r="K3" s="6" t="inlineStr">
        <is>
          <t>Live no YouTube (1)</t>
        </is>
      </c>
      <c r="L3" s="6" t="inlineStr">
        <is>
          <t>Vídeo roteirizado no YouTube (1)</t>
        </is>
      </c>
      <c r="M3" s="6" t="inlineStr">
        <is>
          <t>Dias com stories planejados (meta 7)</t>
        </is>
      </c>
      <c r="N3" s="6" t="inlineStr">
        <is>
          <t>Peças de venda no feed (meta 2)</t>
        </is>
      </c>
    </row>
    <row r="4">
      <c r="A4" s="9" t="n"/>
      <c r="B4" s="9" t="n"/>
      <c r="C4" s="9" t="n"/>
      <c r="D4" s="9" t="n"/>
      <c r="E4" s="9" t="n"/>
      <c r="F4" s="9" t="n"/>
      <c r="G4" s="12">
        <f>IF(A4="","",(MIN(B4,5)+MIN(C4,4)+MIN(D4,1)+MIN(E4,1)+MIN(J4,5)+MIN(K4,1)+MIN(L4,1)+MIN(M4,7)+MIN(N4,2))/27)</f>
        <v/>
      </c>
      <c r="H4" s="9" t="n"/>
      <c r="I4" s="9" t="n"/>
      <c r="J4" s="9" t="n"/>
      <c r="K4" s="9" t="n"/>
      <c r="L4" s="9" t="n"/>
      <c r="M4" s="9" t="n"/>
      <c r="N4" s="9" t="n"/>
    </row>
    <row r="5">
      <c r="A5" s="9" t="n"/>
      <c r="B5" s="9" t="n"/>
      <c r="C5" s="9" t="n"/>
      <c r="D5" s="9" t="n"/>
      <c r="E5" s="9" t="n"/>
      <c r="F5" s="9" t="n"/>
      <c r="G5" s="12">
        <f>IF(A5="","",(MIN(B5,5)+MIN(C5,4)+MIN(D5,1)+MIN(E5,1)+MIN(J5,5)+MIN(K5,1)+MIN(L5,1)+MIN(M5,7)+MIN(N5,2))/27)</f>
        <v/>
      </c>
      <c r="H5" s="9" t="n"/>
      <c r="I5" s="9" t="n"/>
      <c r="J5" s="9" t="n"/>
      <c r="K5" s="9" t="n"/>
      <c r="L5" s="9" t="n"/>
      <c r="M5" s="9" t="n"/>
      <c r="N5" s="9" t="n"/>
    </row>
    <row r="6">
      <c r="A6" s="9" t="n"/>
      <c r="B6" s="9" t="n"/>
      <c r="C6" s="9" t="n"/>
      <c r="D6" s="9" t="n"/>
      <c r="E6" s="9" t="n"/>
      <c r="F6" s="9" t="n"/>
      <c r="G6" s="12">
        <f>IF(A6="","",(MIN(B6,5)+MIN(C6,4)+MIN(D6,1)+MIN(E6,1)+MIN(J6,5)+MIN(K6,1)+MIN(L6,1)+MIN(M6,7)+MIN(N6,2))/27)</f>
        <v/>
      </c>
      <c r="H6" s="9" t="n"/>
      <c r="I6" s="9" t="n"/>
      <c r="J6" s="9" t="n"/>
      <c r="K6" s="9" t="n"/>
      <c r="L6" s="9" t="n"/>
      <c r="M6" s="9" t="n"/>
      <c r="N6" s="9" t="n"/>
    </row>
    <row r="7">
      <c r="A7" s="9" t="n"/>
      <c r="B7" s="9" t="n"/>
      <c r="C7" s="9" t="n"/>
      <c r="D7" s="9" t="n"/>
      <c r="E7" s="9" t="n"/>
      <c r="F7" s="9" t="n"/>
      <c r="G7" s="12">
        <f>IF(A7="","",(MIN(B7,5)+MIN(C7,4)+MIN(D7,1)+MIN(E7,1)+MIN(J7,5)+MIN(K7,1)+MIN(L7,1)+MIN(M7,7)+MIN(N7,2))/27)</f>
        <v/>
      </c>
      <c r="H7" s="9" t="n"/>
      <c r="I7" s="9" t="n"/>
      <c r="J7" s="9" t="n"/>
      <c r="K7" s="9" t="n"/>
      <c r="L7" s="9" t="n"/>
      <c r="M7" s="9" t="n"/>
      <c r="N7" s="9" t="n"/>
    </row>
    <row r="8">
      <c r="A8" s="9" t="n"/>
      <c r="B8" s="9" t="n"/>
      <c r="C8" s="9" t="n"/>
      <c r="D8" s="9" t="n"/>
      <c r="E8" s="9" t="n"/>
      <c r="F8" s="9" t="n"/>
      <c r="G8" s="12">
        <f>IF(A8="","",(MIN(B8,5)+MIN(C8,4)+MIN(D8,1)+MIN(E8,1)+MIN(J8,5)+MIN(K8,1)+MIN(L8,1)+MIN(M8,7)+MIN(N8,2))/27)</f>
        <v/>
      </c>
      <c r="H8" s="9" t="n"/>
      <c r="I8" s="9" t="n"/>
      <c r="J8" s="9" t="n"/>
      <c r="K8" s="9" t="n"/>
      <c r="L8" s="9" t="n"/>
      <c r="M8" s="9" t="n"/>
      <c r="N8" s="9" t="n"/>
    </row>
    <row r="9">
      <c r="A9" s="9" t="n"/>
      <c r="B9" s="9" t="n"/>
      <c r="C9" s="9" t="n"/>
      <c r="D9" s="9" t="n"/>
      <c r="E9" s="9" t="n"/>
      <c r="F9" s="9" t="n"/>
      <c r="G9" s="12">
        <f>IF(A9="","",(MIN(B9,5)+MIN(C9,4)+MIN(D9,1)+MIN(E9,1)+MIN(J9,5)+MIN(K9,1)+MIN(L9,1)+MIN(M9,7)+MIN(N9,2))/27)</f>
        <v/>
      </c>
      <c r="H9" s="9" t="n"/>
      <c r="I9" s="9" t="n"/>
      <c r="J9" s="9" t="n"/>
      <c r="K9" s="9" t="n"/>
      <c r="L9" s="9" t="n"/>
      <c r="M9" s="9" t="n"/>
      <c r="N9" s="9" t="n"/>
    </row>
    <row r="10">
      <c r="A10" s="9" t="n"/>
      <c r="B10" s="9" t="n"/>
      <c r="C10" s="9" t="n"/>
      <c r="D10" s="9" t="n"/>
      <c r="E10" s="9" t="n"/>
      <c r="F10" s="9" t="n"/>
      <c r="G10" s="12">
        <f>IF(A10="","",(MIN(B10,5)+MIN(C10,4)+MIN(D10,1)+MIN(E10,1)+MIN(J10,5)+MIN(K10,1)+MIN(L10,1)+MIN(M10,7)+MIN(N10,2))/27)</f>
        <v/>
      </c>
      <c r="H10" s="9" t="n"/>
      <c r="I10" s="9" t="n"/>
      <c r="J10" s="9" t="n"/>
      <c r="K10" s="9" t="n"/>
      <c r="L10" s="9" t="n"/>
      <c r="M10" s="9" t="n"/>
      <c r="N10" s="9" t="n"/>
    </row>
    <row r="11">
      <c r="A11" s="9" t="n"/>
      <c r="B11" s="9" t="n"/>
      <c r="C11" s="9" t="n"/>
      <c r="D11" s="9" t="n"/>
      <c r="E11" s="9" t="n"/>
      <c r="F11" s="9" t="n"/>
      <c r="G11" s="12">
        <f>IF(A11="","",(MIN(B11,5)+MIN(C11,4)+MIN(D11,1)+MIN(E11,1)+MIN(J11,5)+MIN(K11,1)+MIN(L11,1)+MIN(M11,7)+MIN(N11,2))/27)</f>
        <v/>
      </c>
      <c r="H11" s="9" t="n"/>
      <c r="I11" s="9" t="n"/>
      <c r="J11" s="9" t="n"/>
      <c r="K11" s="9" t="n"/>
      <c r="L11" s="9" t="n"/>
      <c r="M11" s="9" t="n"/>
      <c r="N11" s="9" t="n"/>
    </row>
    <row r="12">
      <c r="A12" s="9" t="n"/>
      <c r="B12" s="9" t="n"/>
      <c r="C12" s="9" t="n"/>
      <c r="D12" s="9" t="n"/>
      <c r="E12" s="9" t="n"/>
      <c r="F12" s="9" t="n"/>
      <c r="G12" s="12">
        <f>IF(A12="","",(MIN(B12,5)+MIN(C12,4)+MIN(D12,1)+MIN(E12,1)+MIN(J12,5)+MIN(K12,1)+MIN(L12,1)+MIN(M12,7)+MIN(N12,2))/27)</f>
        <v/>
      </c>
      <c r="H12" s="9" t="n"/>
      <c r="I12" s="9" t="n"/>
      <c r="J12" s="9" t="n"/>
      <c r="K12" s="9" t="n"/>
      <c r="L12" s="9" t="n"/>
      <c r="M12" s="9" t="n"/>
      <c r="N12" s="9" t="n"/>
    </row>
    <row r="13">
      <c r="A13" s="9" t="n"/>
      <c r="B13" s="9" t="n"/>
      <c r="C13" s="9" t="n"/>
      <c r="D13" s="9" t="n"/>
      <c r="E13" s="9" t="n"/>
      <c r="F13" s="9" t="n"/>
      <c r="G13" s="12">
        <f>IF(A13="","",(MIN(B13,5)+MIN(C13,4)+MIN(D13,1)+MIN(E13,1)+MIN(J13,5)+MIN(K13,1)+MIN(L13,1)+MIN(M13,7)+MIN(N13,2))/27)</f>
        <v/>
      </c>
      <c r="H13" s="9" t="n"/>
      <c r="I13" s="9" t="n"/>
      <c r="J13" s="9" t="n"/>
      <c r="K13" s="9" t="n"/>
      <c r="L13" s="9" t="n"/>
      <c r="M13" s="9" t="n"/>
      <c r="N13" s="9" t="n"/>
    </row>
    <row r="14">
      <c r="A14" s="9" t="n"/>
      <c r="B14" s="9" t="n"/>
      <c r="C14" s="9" t="n"/>
      <c r="D14" s="9" t="n"/>
      <c r="E14" s="9" t="n"/>
      <c r="F14" s="9" t="n"/>
      <c r="G14" s="12">
        <f>IF(A14="","",(MIN(B14,5)+MIN(C14,4)+MIN(D14,1)+MIN(E14,1)+MIN(J14,5)+MIN(K14,1)+MIN(L14,1)+MIN(M14,7)+MIN(N14,2))/27)</f>
        <v/>
      </c>
      <c r="H14" s="9" t="n"/>
      <c r="I14" s="9" t="n"/>
      <c r="J14" s="9" t="n"/>
      <c r="K14" s="9" t="n"/>
      <c r="L14" s="9" t="n"/>
      <c r="M14" s="9" t="n"/>
      <c r="N14" s="9" t="n"/>
    </row>
    <row r="15">
      <c r="A15" s="9" t="n"/>
      <c r="B15" s="9" t="n"/>
      <c r="C15" s="9" t="n"/>
      <c r="D15" s="9" t="n"/>
      <c r="E15" s="9" t="n"/>
      <c r="F15" s="9" t="n"/>
      <c r="G15" s="12">
        <f>IF(A15="","",(MIN(B15,5)+MIN(C15,4)+MIN(D15,1)+MIN(E15,1)+MIN(J15,5)+MIN(K15,1)+MIN(L15,1)+MIN(M15,7)+MIN(N15,2))/27)</f>
        <v/>
      </c>
      <c r="H15" s="9" t="n"/>
      <c r="I15" s="9" t="n"/>
      <c r="J15" s="9" t="n"/>
      <c r="K15" s="9" t="n"/>
      <c r="L15" s="9" t="n"/>
      <c r="M15" s="9" t="n"/>
      <c r="N15" s="9" t="n"/>
    </row>
    <row r="16">
      <c r="A16" s="9" t="n"/>
      <c r="B16" s="9" t="n"/>
      <c r="C16" s="9" t="n"/>
      <c r="D16" s="9" t="n"/>
      <c r="E16" s="9" t="n"/>
      <c r="F16" s="9" t="n"/>
      <c r="G16" s="12">
        <f>IF(A16="","",(MIN(B16,5)+MIN(C16,4)+MIN(D16,1)+MIN(E16,1)+MIN(J16,5)+MIN(K16,1)+MIN(L16,1)+MIN(M16,7)+MIN(N16,2))/27)</f>
        <v/>
      </c>
      <c r="H16" s="9" t="n"/>
      <c r="I16" s="9" t="n"/>
      <c r="J16" s="9" t="n"/>
      <c r="K16" s="9" t="n"/>
      <c r="L16" s="9" t="n"/>
      <c r="M16" s="9" t="n"/>
      <c r="N16" s="9" t="n"/>
    </row>
  </sheetData>
  <dataValidations count="2">
    <dataValidation sqref="F4 F5 F6 F7 F8 F9 F10 F11 F12 F13 F14 F15 F16" showDropDown="0" showInputMessage="0" showErrorMessage="0" allowBlank="0" type="list">
      <formula1>"Fica na DM,DM para e-mail,Convite newsletter"</formula1>
    </dataValidation>
    <dataValidation sqref="H4 H5 H6 H7 H8 H9 H10 H11 H12 H13 H14 H15 H16" showDropDown="0" showInputMessage="0" showErrorMessage="0" allowBlank="0" type="list">
      <formula1>"Sim,Não"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4"/>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1" customWidth="1" min="3" max="3"/>
    <col width="13" customWidth="1" min="4" max="4"/>
    <col width="22" customWidth="1" min="5" max="5"/>
    <col width="40" customWidth="1" min="6" max="6"/>
    <col width="18" customWidth="1" min="7" max="7"/>
    <col width="10" customWidth="1" min="8" max="8"/>
    <col width="10" customWidth="1" min="9" max="9"/>
    <col width="9" customWidth="1" min="10" max="10"/>
    <col width="10" customWidth="1" min="11" max="11"/>
    <col width="11" customWidth="1" min="12" max="12"/>
    <col width="10" customWidth="1" min="13" max="13"/>
    <col width="10" customWidth="1" min="14" max="14"/>
    <col width="12" customWidth="1" min="15" max="15"/>
    <col width="10" customWidth="1" min="16" max="16"/>
    <col width="13" customWidth="1" min="17" max="17"/>
    <col width="11" customWidth="1" min="18" max="18"/>
    <col width="9" customWidth="1" min="19" max="19"/>
    <col width="10" customWidth="1" min="20" max="20"/>
    <col width="12" customWidth="1" min="21" max="21"/>
    <col width="12" customWidth="1" min="22" max="22"/>
    <col width="34" customWidth="1" min="23" max="23"/>
    <col width="28" customWidth="1" min="24" max="24"/>
  </cols>
  <sheetData>
    <row r="1">
      <c r="A1" s="1" t="inlineStr">
        <is>
          <t>Placar por peça: gancho, retenção e conversão</t>
        </is>
      </c>
    </row>
    <row r="2">
      <c r="A2" t="inlineStr">
        <is>
          <t>Laranja: ela preenche (Insights do Instagram, 7 dias após publicar). Azul: calcula sozinho.</t>
        </is>
      </c>
      <c r="X2" t="inlineStr">
        <is>
          <t>Linha de base de retenção %:</t>
        </is>
      </c>
      <c r="Y2" s="13" t="n"/>
    </row>
    <row r="3">
      <c r="X3" t="inlineStr">
        <is>
          <t>Linha de base de conversão %:</t>
        </is>
      </c>
      <c r="Y3" s="14" t="n"/>
    </row>
    <row r="4" ht="60" customHeight="1">
      <c r="A4" s="6" t="inlineStr">
        <is>
          <t>Semana</t>
        </is>
      </c>
      <c r="B4" s="6" t="inlineStr">
        <is>
          <t>Data</t>
        </is>
      </c>
      <c r="C4" s="6" t="inlineStr">
        <is>
          <t>Tipo</t>
        </is>
      </c>
      <c r="D4" s="6" t="inlineStr">
        <is>
          <t>Quem aparece</t>
        </is>
      </c>
      <c r="E4" s="6" t="inlineStr">
        <is>
          <t>Tema</t>
        </is>
      </c>
      <c r="F4" s="6" t="inlineStr">
        <is>
          <t>Gancho (o que é dito/escrito nos 3 primeiros segundos)</t>
        </is>
      </c>
      <c r="G4" s="6" t="inlineStr">
        <is>
          <t>Link</t>
        </is>
      </c>
      <c r="H4" s="6" t="inlineStr">
        <is>
          <t>Alcance</t>
        </is>
      </c>
      <c r="I4" s="6" t="inlineStr">
        <is>
          <t>Taxa de pulos % (reels)</t>
        </is>
      </c>
      <c r="J4" s="6" t="inlineStr">
        <is>
          <t>Duração (s)</t>
        </is>
      </c>
      <c r="K4" s="6" t="inlineStr">
        <is>
          <t>Tempo médio assistido (s)</t>
        </is>
      </c>
      <c r="L4" s="6" t="inlineStr">
        <is>
          <t>RETENÇÃO %</t>
        </is>
      </c>
      <c r="M4" s="6" t="inlineStr">
        <is>
          <t>Comentários</t>
        </is>
      </c>
      <c r="N4" s="6" t="inlineStr">
        <is>
          <t>Salvamentos</t>
        </is>
      </c>
      <c r="O4" s="6" t="inlineStr">
        <is>
          <t>Compartilhamentos</t>
        </is>
      </c>
      <c r="P4" s="6" t="inlineStr">
        <is>
          <t>Seguidores ganhos</t>
        </is>
      </c>
      <c r="Q4" s="6" t="inlineStr">
        <is>
          <t>CONVERSÃO % (engajamento ÷ alcance)</t>
        </is>
      </c>
      <c r="R4" s="6" t="inlineStr">
        <is>
          <t>Imagens reais? (Sim/Não)</t>
        </is>
      </c>
      <c r="S4" s="6" t="inlineStr">
        <is>
          <t>É captura?</t>
        </is>
      </c>
      <c r="T4" s="6" t="inlineStr">
        <is>
          <t>E-mails gerados</t>
        </is>
      </c>
      <c r="U4" s="6" t="inlineStr">
        <is>
          <t>CAPTURA % (e-mails ÷ comentários)</t>
        </is>
      </c>
      <c r="V4" s="6" t="inlineStr">
        <is>
          <t>Acima da linha de base?</t>
        </is>
      </c>
      <c r="W4" s="6" t="inlineStr">
        <is>
          <t>O que aprendi</t>
        </is>
      </c>
    </row>
    <row r="5">
      <c r="A5" s="9" t="n"/>
      <c r="B5" s="9" t="n"/>
      <c r="C5" s="9" t="n"/>
      <c r="D5" s="9" t="n"/>
      <c r="E5" s="9" t="n"/>
      <c r="F5" s="9" t="n"/>
      <c r="G5" s="9" t="n"/>
      <c r="H5" s="9" t="n"/>
      <c r="I5" s="9" t="n"/>
      <c r="J5" s="9" t="n"/>
      <c r="K5" s="9" t="n"/>
      <c r="L5" s="12">
        <f>IFERROR(K5/J5,"")</f>
        <v/>
      </c>
      <c r="M5" s="9" t="n"/>
      <c r="N5" s="9" t="n"/>
      <c r="O5" s="9" t="n"/>
      <c r="P5" s="9" t="n"/>
      <c r="Q5" s="15">
        <f>IFERROR((M5+N5+O5)/H5,"")</f>
        <v/>
      </c>
      <c r="R5" s="9" t="n"/>
      <c r="S5" s="9" t="n"/>
      <c r="T5" s="9" t="n"/>
      <c r="U5" s="12">
        <f>IF(S5="Sim",IFERROR(T5/M5,""),"")</f>
        <v/>
      </c>
      <c r="V5" s="16">
        <f>IF(OR(H5="",$Y$3=""),"",IF(AND(OR(C5&lt;&gt;"Reel",L5&gt;=$Y$2),Q5&gt;=$Y$3),"Sim","Não"))</f>
        <v/>
      </c>
      <c r="W5" s="9" t="n"/>
    </row>
    <row r="6">
      <c r="A6" s="9" t="n"/>
      <c r="B6" s="9" t="n"/>
      <c r="C6" s="9" t="n"/>
      <c r="D6" s="9" t="n"/>
      <c r="E6" s="9" t="n"/>
      <c r="F6" s="9" t="n"/>
      <c r="G6" s="9" t="n"/>
      <c r="H6" s="9" t="n"/>
      <c r="I6" s="9" t="n"/>
      <c r="J6" s="9" t="n"/>
      <c r="K6" s="9" t="n"/>
      <c r="L6" s="12">
        <f>IFERROR(K6/J6,"")</f>
        <v/>
      </c>
      <c r="M6" s="9" t="n"/>
      <c r="N6" s="9" t="n"/>
      <c r="O6" s="9" t="n"/>
      <c r="P6" s="9" t="n"/>
      <c r="Q6" s="15">
        <f>IFERROR((M6+N6+O6)/H6,"")</f>
        <v/>
      </c>
      <c r="R6" s="9" t="n"/>
      <c r="S6" s="9" t="n"/>
      <c r="T6" s="9" t="n"/>
      <c r="U6" s="12">
        <f>IF(S6="Sim",IFERROR(T6/M6,""),"")</f>
        <v/>
      </c>
      <c r="V6" s="16">
        <f>IF(OR(H6="",$Y$3=""),"",IF(AND(OR(C6&lt;&gt;"Reel",L6&gt;=$Y$2),Q6&gt;=$Y$3),"Sim","Não"))</f>
        <v/>
      </c>
      <c r="W6" s="9" t="n"/>
    </row>
    <row r="7">
      <c r="A7" s="9" t="n"/>
      <c r="B7" s="9" t="n"/>
      <c r="C7" s="9" t="n"/>
      <c r="D7" s="9" t="n"/>
      <c r="E7" s="9" t="n"/>
      <c r="F7" s="9" t="n"/>
      <c r="G7" s="9" t="n"/>
      <c r="H7" s="9" t="n"/>
      <c r="I7" s="9" t="n"/>
      <c r="J7" s="9" t="n"/>
      <c r="K7" s="9" t="n"/>
      <c r="L7" s="12">
        <f>IFERROR(K7/J7,"")</f>
        <v/>
      </c>
      <c r="M7" s="9" t="n"/>
      <c r="N7" s="9" t="n"/>
      <c r="O7" s="9" t="n"/>
      <c r="P7" s="9" t="n"/>
      <c r="Q7" s="15">
        <f>IFERROR((M7+N7+O7)/H7,"")</f>
        <v/>
      </c>
      <c r="R7" s="9" t="n"/>
      <c r="S7" s="9" t="n"/>
      <c r="T7" s="9" t="n"/>
      <c r="U7" s="12">
        <f>IF(S7="Sim",IFERROR(T7/M7,""),"")</f>
        <v/>
      </c>
      <c r="V7" s="16">
        <f>IF(OR(H7="",$Y$3=""),"",IF(AND(OR(C7&lt;&gt;"Reel",L7&gt;=$Y$2),Q7&gt;=$Y$3),"Sim","Não"))</f>
        <v/>
      </c>
      <c r="W7" s="9" t="n"/>
    </row>
    <row r="8">
      <c r="A8" s="9" t="n"/>
      <c r="B8" s="9" t="n"/>
      <c r="C8" s="9" t="n"/>
      <c r="D8" s="9" t="n"/>
      <c r="E8" s="9" t="n"/>
      <c r="F8" s="9" t="n"/>
      <c r="G8" s="9" t="n"/>
      <c r="H8" s="9" t="n"/>
      <c r="I8" s="9" t="n"/>
      <c r="J8" s="9" t="n"/>
      <c r="K8" s="9" t="n"/>
      <c r="L8" s="12">
        <f>IFERROR(K8/J8,"")</f>
        <v/>
      </c>
      <c r="M8" s="9" t="n"/>
      <c r="N8" s="9" t="n"/>
      <c r="O8" s="9" t="n"/>
      <c r="P8" s="9" t="n"/>
      <c r="Q8" s="15">
        <f>IFERROR((M8+N8+O8)/H8,"")</f>
        <v/>
      </c>
      <c r="R8" s="9" t="n"/>
      <c r="S8" s="9" t="n"/>
      <c r="T8" s="9" t="n"/>
      <c r="U8" s="12">
        <f>IF(S8="Sim",IFERROR(T8/M8,""),"")</f>
        <v/>
      </c>
      <c r="V8" s="16">
        <f>IF(OR(H8="",$Y$3=""),"",IF(AND(OR(C8&lt;&gt;"Reel",L8&gt;=$Y$2),Q8&gt;=$Y$3),"Sim","Não"))</f>
        <v/>
      </c>
      <c r="W8" s="9" t="n"/>
    </row>
    <row r="9">
      <c r="A9" s="9" t="n"/>
      <c r="B9" s="9" t="n"/>
      <c r="C9" s="9" t="n"/>
      <c r="D9" s="9" t="n"/>
      <c r="E9" s="9" t="n"/>
      <c r="F9" s="9" t="n"/>
      <c r="G9" s="9" t="n"/>
      <c r="H9" s="9" t="n"/>
      <c r="I9" s="9" t="n"/>
      <c r="J9" s="9" t="n"/>
      <c r="K9" s="9" t="n"/>
      <c r="L9" s="12">
        <f>IFERROR(K9/J9,"")</f>
        <v/>
      </c>
      <c r="M9" s="9" t="n"/>
      <c r="N9" s="9" t="n"/>
      <c r="O9" s="9" t="n"/>
      <c r="P9" s="9" t="n"/>
      <c r="Q9" s="15">
        <f>IFERROR((M9+N9+O9)/H9,"")</f>
        <v/>
      </c>
      <c r="R9" s="9" t="n"/>
      <c r="S9" s="9" t="n"/>
      <c r="T9" s="9" t="n"/>
      <c r="U9" s="12">
        <f>IF(S9="Sim",IFERROR(T9/M9,""),"")</f>
        <v/>
      </c>
      <c r="V9" s="16">
        <f>IF(OR(H9="",$Y$3=""),"",IF(AND(OR(C9&lt;&gt;"Reel",L9&gt;=$Y$2),Q9&gt;=$Y$3),"Sim","Não"))</f>
        <v/>
      </c>
      <c r="W9" s="9" t="n"/>
    </row>
    <row r="10">
      <c r="A10" s="9" t="n"/>
      <c r="B10" s="9" t="n"/>
      <c r="C10" s="9" t="n"/>
      <c r="D10" s="9" t="n"/>
      <c r="E10" s="9" t="n"/>
      <c r="F10" s="9" t="n"/>
      <c r="G10" s="9" t="n"/>
      <c r="H10" s="9" t="n"/>
      <c r="I10" s="9" t="n"/>
      <c r="J10" s="9" t="n"/>
      <c r="K10" s="9" t="n"/>
      <c r="L10" s="12">
        <f>IFERROR(K10/J10,"")</f>
        <v/>
      </c>
      <c r="M10" s="9" t="n"/>
      <c r="N10" s="9" t="n"/>
      <c r="O10" s="9" t="n"/>
      <c r="P10" s="9" t="n"/>
      <c r="Q10" s="15">
        <f>IFERROR((M10+N10+O10)/H10,"")</f>
        <v/>
      </c>
      <c r="R10" s="9" t="n"/>
      <c r="S10" s="9" t="n"/>
      <c r="T10" s="9" t="n"/>
      <c r="U10" s="12">
        <f>IF(S10="Sim",IFERROR(T10/M10,""),"")</f>
        <v/>
      </c>
      <c r="V10" s="16">
        <f>IF(OR(H10="",$Y$3=""),"",IF(AND(OR(C10&lt;&gt;"Reel",L10&gt;=$Y$2),Q10&gt;=$Y$3),"Sim","Não"))</f>
        <v/>
      </c>
      <c r="W10" s="9" t="n"/>
    </row>
    <row r="11">
      <c r="A11" s="9" t="n"/>
      <c r="B11" s="9" t="n"/>
      <c r="C11" s="9" t="n"/>
      <c r="D11" s="9" t="n"/>
      <c r="E11" s="9" t="n"/>
      <c r="F11" s="9" t="n"/>
      <c r="G11" s="9" t="n"/>
      <c r="H11" s="9" t="n"/>
      <c r="I11" s="9" t="n"/>
      <c r="J11" s="9" t="n"/>
      <c r="K11" s="9" t="n"/>
      <c r="L11" s="12">
        <f>IFERROR(K11/J11,"")</f>
        <v/>
      </c>
      <c r="M11" s="9" t="n"/>
      <c r="N11" s="9" t="n"/>
      <c r="O11" s="9" t="n"/>
      <c r="P11" s="9" t="n"/>
      <c r="Q11" s="15">
        <f>IFERROR((M11+N11+O11)/H11,"")</f>
        <v/>
      </c>
      <c r="R11" s="9" t="n"/>
      <c r="S11" s="9" t="n"/>
      <c r="T11" s="9" t="n"/>
      <c r="U11" s="12">
        <f>IF(S11="Sim",IFERROR(T11/M11,""),"")</f>
        <v/>
      </c>
      <c r="V11" s="16">
        <f>IF(OR(H11="",$Y$3=""),"",IF(AND(OR(C11&lt;&gt;"Reel",L11&gt;=$Y$2),Q11&gt;=$Y$3),"Sim","Não"))</f>
        <v/>
      </c>
      <c r="W11" s="9" t="n"/>
    </row>
    <row r="12">
      <c r="A12" s="9" t="n"/>
      <c r="B12" s="9" t="n"/>
      <c r="C12" s="9" t="n"/>
      <c r="D12" s="9" t="n"/>
      <c r="E12" s="9" t="n"/>
      <c r="F12" s="9" t="n"/>
      <c r="G12" s="9" t="n"/>
      <c r="H12" s="9" t="n"/>
      <c r="I12" s="9" t="n"/>
      <c r="J12" s="9" t="n"/>
      <c r="K12" s="9" t="n"/>
      <c r="L12" s="12">
        <f>IFERROR(K12/J12,"")</f>
        <v/>
      </c>
      <c r="M12" s="9" t="n"/>
      <c r="N12" s="9" t="n"/>
      <c r="O12" s="9" t="n"/>
      <c r="P12" s="9" t="n"/>
      <c r="Q12" s="15">
        <f>IFERROR((M12+N12+O12)/H12,"")</f>
        <v/>
      </c>
      <c r="R12" s="9" t="n"/>
      <c r="S12" s="9" t="n"/>
      <c r="T12" s="9" t="n"/>
      <c r="U12" s="12">
        <f>IF(S12="Sim",IFERROR(T12/M12,""),"")</f>
        <v/>
      </c>
      <c r="V12" s="16">
        <f>IF(OR(H12="",$Y$3=""),"",IF(AND(OR(C12&lt;&gt;"Reel",L12&gt;=$Y$2),Q12&gt;=$Y$3),"Sim","Não"))</f>
        <v/>
      </c>
      <c r="W12" s="9" t="n"/>
    </row>
    <row r="13">
      <c r="A13" s="9" t="n"/>
      <c r="B13" s="9" t="n"/>
      <c r="C13" s="9" t="n"/>
      <c r="D13" s="9" t="n"/>
      <c r="E13" s="9" t="n"/>
      <c r="F13" s="9" t="n"/>
      <c r="G13" s="9" t="n"/>
      <c r="H13" s="9" t="n"/>
      <c r="I13" s="9" t="n"/>
      <c r="J13" s="9" t="n"/>
      <c r="K13" s="9" t="n"/>
      <c r="L13" s="12">
        <f>IFERROR(K13/J13,"")</f>
        <v/>
      </c>
      <c r="M13" s="9" t="n"/>
      <c r="N13" s="9" t="n"/>
      <c r="O13" s="9" t="n"/>
      <c r="P13" s="9" t="n"/>
      <c r="Q13" s="15">
        <f>IFERROR((M13+N13+O13)/H13,"")</f>
        <v/>
      </c>
      <c r="R13" s="9" t="n"/>
      <c r="S13" s="9" t="n"/>
      <c r="T13" s="9" t="n"/>
      <c r="U13" s="12">
        <f>IF(S13="Sim",IFERROR(T13/M13,""),"")</f>
        <v/>
      </c>
      <c r="V13" s="16">
        <f>IF(OR(H13="",$Y$3=""),"",IF(AND(OR(C13&lt;&gt;"Reel",L13&gt;=$Y$2),Q13&gt;=$Y$3),"Sim","Não"))</f>
        <v/>
      </c>
      <c r="W13" s="9" t="n"/>
    </row>
    <row r="14">
      <c r="A14" s="9" t="n"/>
      <c r="B14" s="9" t="n"/>
      <c r="C14" s="9" t="n"/>
      <c r="D14" s="9" t="n"/>
      <c r="E14" s="9" t="n"/>
      <c r="F14" s="9" t="n"/>
      <c r="G14" s="9" t="n"/>
      <c r="H14" s="9" t="n"/>
      <c r="I14" s="9" t="n"/>
      <c r="J14" s="9" t="n"/>
      <c r="K14" s="9" t="n"/>
      <c r="L14" s="12">
        <f>IFERROR(K14/J14,"")</f>
        <v/>
      </c>
      <c r="M14" s="9" t="n"/>
      <c r="N14" s="9" t="n"/>
      <c r="O14" s="9" t="n"/>
      <c r="P14" s="9" t="n"/>
      <c r="Q14" s="15">
        <f>IFERROR((M14+N14+O14)/H14,"")</f>
        <v/>
      </c>
      <c r="R14" s="9" t="n"/>
      <c r="S14" s="9" t="n"/>
      <c r="T14" s="9" t="n"/>
      <c r="U14" s="12">
        <f>IF(S14="Sim",IFERROR(T14/M14,""),"")</f>
        <v/>
      </c>
      <c r="V14" s="16">
        <f>IF(OR(H14="",$Y$3=""),"",IF(AND(OR(C14&lt;&gt;"Reel",L14&gt;=$Y$2),Q14&gt;=$Y$3),"Sim","Não"))</f>
        <v/>
      </c>
      <c r="W14" s="9" t="n"/>
    </row>
    <row r="15">
      <c r="A15" s="9" t="n"/>
      <c r="B15" s="9" t="n"/>
      <c r="C15" s="9" t="n"/>
      <c r="D15" s="9" t="n"/>
      <c r="E15" s="9" t="n"/>
      <c r="F15" s="9" t="n"/>
      <c r="G15" s="9" t="n"/>
      <c r="H15" s="9" t="n"/>
      <c r="I15" s="9" t="n"/>
      <c r="J15" s="9" t="n"/>
      <c r="K15" s="9" t="n"/>
      <c r="L15" s="12">
        <f>IFERROR(K15/J15,"")</f>
        <v/>
      </c>
      <c r="M15" s="9" t="n"/>
      <c r="N15" s="9" t="n"/>
      <c r="O15" s="9" t="n"/>
      <c r="P15" s="9" t="n"/>
      <c r="Q15" s="15">
        <f>IFERROR((M15+N15+O15)/H15,"")</f>
        <v/>
      </c>
      <c r="R15" s="9" t="n"/>
      <c r="S15" s="9" t="n"/>
      <c r="T15" s="9" t="n"/>
      <c r="U15" s="12">
        <f>IF(S15="Sim",IFERROR(T15/M15,""),"")</f>
        <v/>
      </c>
      <c r="V15" s="16">
        <f>IF(OR(H15="",$Y$3=""),"",IF(AND(OR(C15&lt;&gt;"Reel",L15&gt;=$Y$2),Q15&gt;=$Y$3),"Sim","Não"))</f>
        <v/>
      </c>
      <c r="W15" s="9" t="n"/>
    </row>
    <row r="16">
      <c r="A16" s="9" t="n"/>
      <c r="B16" s="9" t="n"/>
      <c r="C16" s="9" t="n"/>
      <c r="D16" s="9" t="n"/>
      <c r="E16" s="9" t="n"/>
      <c r="F16" s="9" t="n"/>
      <c r="G16" s="9" t="n"/>
      <c r="H16" s="9" t="n"/>
      <c r="I16" s="9" t="n"/>
      <c r="J16" s="9" t="n"/>
      <c r="K16" s="9" t="n"/>
      <c r="L16" s="12">
        <f>IFERROR(K16/J16,"")</f>
        <v/>
      </c>
      <c r="M16" s="9" t="n"/>
      <c r="N16" s="9" t="n"/>
      <c r="O16" s="9" t="n"/>
      <c r="P16" s="9" t="n"/>
      <c r="Q16" s="15">
        <f>IFERROR((M16+N16+O16)/H16,"")</f>
        <v/>
      </c>
      <c r="R16" s="9" t="n"/>
      <c r="S16" s="9" t="n"/>
      <c r="T16" s="9" t="n"/>
      <c r="U16" s="12">
        <f>IF(S16="Sim",IFERROR(T16/M16,""),"")</f>
        <v/>
      </c>
      <c r="V16" s="16">
        <f>IF(OR(H16="",$Y$3=""),"",IF(AND(OR(C16&lt;&gt;"Reel",L16&gt;=$Y$2),Q16&gt;=$Y$3),"Sim","Não"))</f>
        <v/>
      </c>
      <c r="W16" s="9" t="n"/>
    </row>
    <row r="17">
      <c r="A17" s="9" t="n"/>
      <c r="B17" s="9" t="n"/>
      <c r="C17" s="9" t="n"/>
      <c r="D17" s="9" t="n"/>
      <c r="E17" s="9" t="n"/>
      <c r="F17" s="9" t="n"/>
      <c r="G17" s="9" t="n"/>
      <c r="H17" s="9" t="n"/>
      <c r="I17" s="9" t="n"/>
      <c r="J17" s="9" t="n"/>
      <c r="K17" s="9" t="n"/>
      <c r="L17" s="12">
        <f>IFERROR(K17/J17,"")</f>
        <v/>
      </c>
      <c r="M17" s="9" t="n"/>
      <c r="N17" s="9" t="n"/>
      <c r="O17" s="9" t="n"/>
      <c r="P17" s="9" t="n"/>
      <c r="Q17" s="15">
        <f>IFERROR((M17+N17+O17)/H17,"")</f>
        <v/>
      </c>
      <c r="R17" s="9" t="n"/>
      <c r="S17" s="9" t="n"/>
      <c r="T17" s="9" t="n"/>
      <c r="U17" s="12">
        <f>IF(S17="Sim",IFERROR(T17/M17,""),"")</f>
        <v/>
      </c>
      <c r="V17" s="16">
        <f>IF(OR(H17="",$Y$3=""),"",IF(AND(OR(C17&lt;&gt;"Reel",L17&gt;=$Y$2),Q17&gt;=$Y$3),"Sim","Não"))</f>
        <v/>
      </c>
      <c r="W17" s="9" t="n"/>
    </row>
    <row r="18">
      <c r="A18" s="9" t="n"/>
      <c r="B18" s="9" t="n"/>
      <c r="C18" s="9" t="n"/>
      <c r="D18" s="9" t="n"/>
      <c r="E18" s="9" t="n"/>
      <c r="F18" s="9" t="n"/>
      <c r="G18" s="9" t="n"/>
      <c r="H18" s="9" t="n"/>
      <c r="I18" s="9" t="n"/>
      <c r="J18" s="9" t="n"/>
      <c r="K18" s="9" t="n"/>
      <c r="L18" s="12">
        <f>IFERROR(K18/J18,"")</f>
        <v/>
      </c>
      <c r="M18" s="9" t="n"/>
      <c r="N18" s="9" t="n"/>
      <c r="O18" s="9" t="n"/>
      <c r="P18" s="9" t="n"/>
      <c r="Q18" s="15">
        <f>IFERROR((M18+N18+O18)/H18,"")</f>
        <v/>
      </c>
      <c r="R18" s="9" t="n"/>
      <c r="S18" s="9" t="n"/>
      <c r="T18" s="9" t="n"/>
      <c r="U18" s="12">
        <f>IF(S18="Sim",IFERROR(T18/M18,""),"")</f>
        <v/>
      </c>
      <c r="V18" s="16">
        <f>IF(OR(H18="",$Y$3=""),"",IF(AND(OR(C18&lt;&gt;"Reel",L18&gt;=$Y$2),Q18&gt;=$Y$3),"Sim","Não"))</f>
        <v/>
      </c>
      <c r="W18" s="9" t="n"/>
    </row>
    <row r="19">
      <c r="A19" s="9" t="n"/>
      <c r="B19" s="9" t="n"/>
      <c r="C19" s="9" t="n"/>
      <c r="D19" s="9" t="n"/>
      <c r="E19" s="9" t="n"/>
      <c r="F19" s="9" t="n"/>
      <c r="G19" s="9" t="n"/>
      <c r="H19" s="9" t="n"/>
      <c r="I19" s="9" t="n"/>
      <c r="J19" s="9" t="n"/>
      <c r="K19" s="9" t="n"/>
      <c r="L19" s="12">
        <f>IFERROR(K19/J19,"")</f>
        <v/>
      </c>
      <c r="M19" s="9" t="n"/>
      <c r="N19" s="9" t="n"/>
      <c r="O19" s="9" t="n"/>
      <c r="P19" s="9" t="n"/>
      <c r="Q19" s="15">
        <f>IFERROR((M19+N19+O19)/H19,"")</f>
        <v/>
      </c>
      <c r="R19" s="9" t="n"/>
      <c r="S19" s="9" t="n"/>
      <c r="T19" s="9" t="n"/>
      <c r="U19" s="12">
        <f>IF(S19="Sim",IFERROR(T19/M19,""),"")</f>
        <v/>
      </c>
      <c r="V19" s="16">
        <f>IF(OR(H19="",$Y$3=""),"",IF(AND(OR(C19&lt;&gt;"Reel",L19&gt;=$Y$2),Q19&gt;=$Y$3),"Sim","Não"))</f>
        <v/>
      </c>
      <c r="W19" s="9" t="n"/>
    </row>
    <row r="20">
      <c r="A20" s="9" t="n"/>
      <c r="B20" s="9" t="n"/>
      <c r="C20" s="9" t="n"/>
      <c r="D20" s="9" t="n"/>
      <c r="E20" s="9" t="n"/>
      <c r="F20" s="9" t="n"/>
      <c r="G20" s="9" t="n"/>
      <c r="H20" s="9" t="n"/>
      <c r="I20" s="9" t="n"/>
      <c r="J20" s="9" t="n"/>
      <c r="K20" s="9" t="n"/>
      <c r="L20" s="12">
        <f>IFERROR(K20/J20,"")</f>
        <v/>
      </c>
      <c r="M20" s="9" t="n"/>
      <c r="N20" s="9" t="n"/>
      <c r="O20" s="9" t="n"/>
      <c r="P20" s="9" t="n"/>
      <c r="Q20" s="15">
        <f>IFERROR((M20+N20+O20)/H20,"")</f>
        <v/>
      </c>
      <c r="R20" s="9" t="n"/>
      <c r="S20" s="9" t="n"/>
      <c r="T20" s="9" t="n"/>
      <c r="U20" s="12">
        <f>IF(S20="Sim",IFERROR(T20/M20,""),"")</f>
        <v/>
      </c>
      <c r="V20" s="16">
        <f>IF(OR(H20="",$Y$3=""),"",IF(AND(OR(C20&lt;&gt;"Reel",L20&gt;=$Y$2),Q20&gt;=$Y$3),"Sim","Não"))</f>
        <v/>
      </c>
      <c r="W20" s="9" t="n"/>
    </row>
    <row r="21">
      <c r="A21" s="9" t="n"/>
      <c r="B21" s="9" t="n"/>
      <c r="C21" s="9" t="n"/>
      <c r="D21" s="9" t="n"/>
      <c r="E21" s="9" t="n"/>
      <c r="F21" s="9" t="n"/>
      <c r="G21" s="9" t="n"/>
      <c r="H21" s="9" t="n"/>
      <c r="I21" s="9" t="n"/>
      <c r="J21" s="9" t="n"/>
      <c r="K21" s="9" t="n"/>
      <c r="L21" s="12">
        <f>IFERROR(K21/J21,"")</f>
        <v/>
      </c>
      <c r="M21" s="9" t="n"/>
      <c r="N21" s="9" t="n"/>
      <c r="O21" s="9" t="n"/>
      <c r="P21" s="9" t="n"/>
      <c r="Q21" s="15">
        <f>IFERROR((M21+N21+O21)/H21,"")</f>
        <v/>
      </c>
      <c r="R21" s="9" t="n"/>
      <c r="S21" s="9" t="n"/>
      <c r="T21" s="9" t="n"/>
      <c r="U21" s="12">
        <f>IF(S21="Sim",IFERROR(T21/M21,""),"")</f>
        <v/>
      </c>
      <c r="V21" s="16">
        <f>IF(OR(H21="",$Y$3=""),"",IF(AND(OR(C21&lt;&gt;"Reel",L21&gt;=$Y$2),Q21&gt;=$Y$3),"Sim","Não"))</f>
        <v/>
      </c>
      <c r="W21" s="9" t="n"/>
    </row>
    <row r="22">
      <c r="A22" s="9" t="n"/>
      <c r="B22" s="9" t="n"/>
      <c r="C22" s="9" t="n"/>
      <c r="D22" s="9" t="n"/>
      <c r="E22" s="9" t="n"/>
      <c r="F22" s="9" t="n"/>
      <c r="G22" s="9" t="n"/>
      <c r="H22" s="9" t="n"/>
      <c r="I22" s="9" t="n"/>
      <c r="J22" s="9" t="n"/>
      <c r="K22" s="9" t="n"/>
      <c r="L22" s="12">
        <f>IFERROR(K22/J22,"")</f>
        <v/>
      </c>
      <c r="M22" s="9" t="n"/>
      <c r="N22" s="9" t="n"/>
      <c r="O22" s="9" t="n"/>
      <c r="P22" s="9" t="n"/>
      <c r="Q22" s="15">
        <f>IFERROR((M22+N22+O22)/H22,"")</f>
        <v/>
      </c>
      <c r="R22" s="9" t="n"/>
      <c r="S22" s="9" t="n"/>
      <c r="T22" s="9" t="n"/>
      <c r="U22" s="12">
        <f>IF(S22="Sim",IFERROR(T22/M22,""),"")</f>
        <v/>
      </c>
      <c r="V22" s="16">
        <f>IF(OR(H22="",$Y$3=""),"",IF(AND(OR(C22&lt;&gt;"Reel",L22&gt;=$Y$2),Q22&gt;=$Y$3),"Sim","Não"))</f>
        <v/>
      </c>
      <c r="W22" s="9" t="n"/>
    </row>
    <row r="23">
      <c r="A23" s="9" t="n"/>
      <c r="B23" s="9" t="n"/>
      <c r="C23" s="9" t="n"/>
      <c r="D23" s="9" t="n"/>
      <c r="E23" s="9" t="n"/>
      <c r="F23" s="9" t="n"/>
      <c r="G23" s="9" t="n"/>
      <c r="H23" s="9" t="n"/>
      <c r="I23" s="9" t="n"/>
      <c r="J23" s="9" t="n"/>
      <c r="K23" s="9" t="n"/>
      <c r="L23" s="12">
        <f>IFERROR(K23/J23,"")</f>
        <v/>
      </c>
      <c r="M23" s="9" t="n"/>
      <c r="N23" s="9" t="n"/>
      <c r="O23" s="9" t="n"/>
      <c r="P23" s="9" t="n"/>
      <c r="Q23" s="15">
        <f>IFERROR((M23+N23+O23)/H23,"")</f>
        <v/>
      </c>
      <c r="R23" s="9" t="n"/>
      <c r="S23" s="9" t="n"/>
      <c r="T23" s="9" t="n"/>
      <c r="U23" s="12">
        <f>IF(S23="Sim",IFERROR(T23/M23,""),"")</f>
        <v/>
      </c>
      <c r="V23" s="16">
        <f>IF(OR(H23="",$Y$3=""),"",IF(AND(OR(C23&lt;&gt;"Reel",L23&gt;=$Y$2),Q23&gt;=$Y$3),"Sim","Não"))</f>
        <v/>
      </c>
      <c r="W23" s="9" t="n"/>
    </row>
    <row r="24">
      <c r="A24" s="9" t="n"/>
      <c r="B24" s="9" t="n"/>
      <c r="C24" s="9" t="n"/>
      <c r="D24" s="9" t="n"/>
      <c r="E24" s="9" t="n"/>
      <c r="F24" s="9" t="n"/>
      <c r="G24" s="9" t="n"/>
      <c r="H24" s="9" t="n"/>
      <c r="I24" s="9" t="n"/>
      <c r="J24" s="9" t="n"/>
      <c r="K24" s="9" t="n"/>
      <c r="L24" s="12">
        <f>IFERROR(K24/J24,"")</f>
        <v/>
      </c>
      <c r="M24" s="9" t="n"/>
      <c r="N24" s="9" t="n"/>
      <c r="O24" s="9" t="n"/>
      <c r="P24" s="9" t="n"/>
      <c r="Q24" s="15">
        <f>IFERROR((M24+N24+O24)/H24,"")</f>
        <v/>
      </c>
      <c r="R24" s="9" t="n"/>
      <c r="S24" s="9" t="n"/>
      <c r="T24" s="9" t="n"/>
      <c r="U24" s="12">
        <f>IF(S24="Sim",IFERROR(T24/M24,""),"")</f>
        <v/>
      </c>
      <c r="V24" s="16">
        <f>IF(OR(H24="",$Y$3=""),"",IF(AND(OR(C24&lt;&gt;"Reel",L24&gt;=$Y$2),Q24&gt;=$Y$3),"Sim","Não"))</f>
        <v/>
      </c>
      <c r="W24" s="9" t="n"/>
    </row>
    <row r="25">
      <c r="A25" s="9" t="n"/>
      <c r="B25" s="9" t="n"/>
      <c r="C25" s="9" t="n"/>
      <c r="D25" s="9" t="n"/>
      <c r="E25" s="9" t="n"/>
      <c r="F25" s="9" t="n"/>
      <c r="G25" s="9" t="n"/>
      <c r="H25" s="9" t="n"/>
      <c r="I25" s="9" t="n"/>
      <c r="J25" s="9" t="n"/>
      <c r="K25" s="9" t="n"/>
      <c r="L25" s="12">
        <f>IFERROR(K25/J25,"")</f>
        <v/>
      </c>
      <c r="M25" s="9" t="n"/>
      <c r="N25" s="9" t="n"/>
      <c r="O25" s="9" t="n"/>
      <c r="P25" s="9" t="n"/>
      <c r="Q25" s="15">
        <f>IFERROR((M25+N25+O25)/H25,"")</f>
        <v/>
      </c>
      <c r="R25" s="9" t="n"/>
      <c r="S25" s="9" t="n"/>
      <c r="T25" s="9" t="n"/>
      <c r="U25" s="12">
        <f>IF(S25="Sim",IFERROR(T25/M25,""),"")</f>
        <v/>
      </c>
      <c r="V25" s="16">
        <f>IF(OR(H25="",$Y$3=""),"",IF(AND(OR(C25&lt;&gt;"Reel",L25&gt;=$Y$2),Q25&gt;=$Y$3),"Sim","Não"))</f>
        <v/>
      </c>
      <c r="W25" s="9" t="n"/>
    </row>
    <row r="26">
      <c r="A26" s="9" t="n"/>
      <c r="B26" s="9" t="n"/>
      <c r="C26" s="9" t="n"/>
      <c r="D26" s="9" t="n"/>
      <c r="E26" s="9" t="n"/>
      <c r="F26" s="9" t="n"/>
      <c r="G26" s="9" t="n"/>
      <c r="H26" s="9" t="n"/>
      <c r="I26" s="9" t="n"/>
      <c r="J26" s="9" t="n"/>
      <c r="K26" s="9" t="n"/>
      <c r="L26" s="12">
        <f>IFERROR(K26/J26,"")</f>
        <v/>
      </c>
      <c r="M26" s="9" t="n"/>
      <c r="N26" s="9" t="n"/>
      <c r="O26" s="9" t="n"/>
      <c r="P26" s="9" t="n"/>
      <c r="Q26" s="15">
        <f>IFERROR((M26+N26+O26)/H26,"")</f>
        <v/>
      </c>
      <c r="R26" s="9" t="n"/>
      <c r="S26" s="9" t="n"/>
      <c r="T26" s="9" t="n"/>
      <c r="U26" s="12">
        <f>IF(S26="Sim",IFERROR(T26/M26,""),"")</f>
        <v/>
      </c>
      <c r="V26" s="16">
        <f>IF(OR(H26="",$Y$3=""),"",IF(AND(OR(C26&lt;&gt;"Reel",L26&gt;=$Y$2),Q26&gt;=$Y$3),"Sim","Não"))</f>
        <v/>
      </c>
      <c r="W26" s="9" t="n"/>
    </row>
    <row r="27">
      <c r="A27" s="9" t="n"/>
      <c r="B27" s="9" t="n"/>
      <c r="C27" s="9" t="n"/>
      <c r="D27" s="9" t="n"/>
      <c r="E27" s="9" t="n"/>
      <c r="F27" s="9" t="n"/>
      <c r="G27" s="9" t="n"/>
      <c r="H27" s="9" t="n"/>
      <c r="I27" s="9" t="n"/>
      <c r="J27" s="9" t="n"/>
      <c r="K27" s="9" t="n"/>
      <c r="L27" s="12">
        <f>IFERROR(K27/J27,"")</f>
        <v/>
      </c>
      <c r="M27" s="9" t="n"/>
      <c r="N27" s="9" t="n"/>
      <c r="O27" s="9" t="n"/>
      <c r="P27" s="9" t="n"/>
      <c r="Q27" s="15">
        <f>IFERROR((M27+N27+O27)/H27,"")</f>
        <v/>
      </c>
      <c r="R27" s="9" t="n"/>
      <c r="S27" s="9" t="n"/>
      <c r="T27" s="9" t="n"/>
      <c r="U27" s="12">
        <f>IF(S27="Sim",IFERROR(T27/M27,""),"")</f>
        <v/>
      </c>
      <c r="V27" s="16">
        <f>IF(OR(H27="",$Y$3=""),"",IF(AND(OR(C27&lt;&gt;"Reel",L27&gt;=$Y$2),Q27&gt;=$Y$3),"Sim","Não"))</f>
        <v/>
      </c>
      <c r="W27" s="9" t="n"/>
    </row>
    <row r="28">
      <c r="A28" s="9" t="n"/>
      <c r="B28" s="9" t="n"/>
      <c r="C28" s="9" t="n"/>
      <c r="D28" s="9" t="n"/>
      <c r="E28" s="9" t="n"/>
      <c r="F28" s="9" t="n"/>
      <c r="G28" s="9" t="n"/>
      <c r="H28" s="9" t="n"/>
      <c r="I28" s="9" t="n"/>
      <c r="J28" s="9" t="n"/>
      <c r="K28" s="9" t="n"/>
      <c r="L28" s="12">
        <f>IFERROR(K28/J28,"")</f>
        <v/>
      </c>
      <c r="M28" s="9" t="n"/>
      <c r="N28" s="9" t="n"/>
      <c r="O28" s="9" t="n"/>
      <c r="P28" s="9" t="n"/>
      <c r="Q28" s="15">
        <f>IFERROR((M28+N28+O28)/H28,"")</f>
        <v/>
      </c>
      <c r="R28" s="9" t="n"/>
      <c r="S28" s="9" t="n"/>
      <c r="T28" s="9" t="n"/>
      <c r="U28" s="12">
        <f>IF(S28="Sim",IFERROR(T28/M28,""),"")</f>
        <v/>
      </c>
      <c r="V28" s="16">
        <f>IF(OR(H28="",$Y$3=""),"",IF(AND(OR(C28&lt;&gt;"Reel",L28&gt;=$Y$2),Q28&gt;=$Y$3),"Sim","Não"))</f>
        <v/>
      </c>
      <c r="W28" s="9" t="n"/>
    </row>
    <row r="29">
      <c r="A29" s="9" t="n"/>
      <c r="B29" s="9" t="n"/>
      <c r="C29" s="9" t="n"/>
      <c r="D29" s="9" t="n"/>
      <c r="E29" s="9" t="n"/>
      <c r="F29" s="9" t="n"/>
      <c r="G29" s="9" t="n"/>
      <c r="H29" s="9" t="n"/>
      <c r="I29" s="9" t="n"/>
      <c r="J29" s="9" t="n"/>
      <c r="K29" s="9" t="n"/>
      <c r="L29" s="12">
        <f>IFERROR(K29/J29,"")</f>
        <v/>
      </c>
      <c r="M29" s="9" t="n"/>
      <c r="N29" s="9" t="n"/>
      <c r="O29" s="9" t="n"/>
      <c r="P29" s="9" t="n"/>
      <c r="Q29" s="15">
        <f>IFERROR((M29+N29+O29)/H29,"")</f>
        <v/>
      </c>
      <c r="R29" s="9" t="n"/>
      <c r="S29" s="9" t="n"/>
      <c r="T29" s="9" t="n"/>
      <c r="U29" s="12">
        <f>IF(S29="Sim",IFERROR(T29/M29,""),"")</f>
        <v/>
      </c>
      <c r="V29" s="16">
        <f>IF(OR(H29="",$Y$3=""),"",IF(AND(OR(C29&lt;&gt;"Reel",L29&gt;=$Y$2),Q29&gt;=$Y$3),"Sim","Não"))</f>
        <v/>
      </c>
      <c r="W29" s="9" t="n"/>
    </row>
    <row r="30">
      <c r="A30" s="9" t="n"/>
      <c r="B30" s="9" t="n"/>
      <c r="C30" s="9" t="n"/>
      <c r="D30" s="9" t="n"/>
      <c r="E30" s="9" t="n"/>
      <c r="F30" s="9" t="n"/>
      <c r="G30" s="9" t="n"/>
      <c r="H30" s="9" t="n"/>
      <c r="I30" s="9" t="n"/>
      <c r="J30" s="9" t="n"/>
      <c r="K30" s="9" t="n"/>
      <c r="L30" s="12">
        <f>IFERROR(K30/J30,"")</f>
        <v/>
      </c>
      <c r="M30" s="9" t="n"/>
      <c r="N30" s="9" t="n"/>
      <c r="O30" s="9" t="n"/>
      <c r="P30" s="9" t="n"/>
      <c r="Q30" s="15">
        <f>IFERROR((M30+N30+O30)/H30,"")</f>
        <v/>
      </c>
      <c r="R30" s="9" t="n"/>
      <c r="S30" s="9" t="n"/>
      <c r="T30" s="9" t="n"/>
      <c r="U30" s="12">
        <f>IF(S30="Sim",IFERROR(T30/M30,""),"")</f>
        <v/>
      </c>
      <c r="V30" s="16">
        <f>IF(OR(H30="",$Y$3=""),"",IF(AND(OR(C30&lt;&gt;"Reel",L30&gt;=$Y$2),Q30&gt;=$Y$3),"Sim","Não"))</f>
        <v/>
      </c>
      <c r="W30" s="9" t="n"/>
    </row>
    <row r="31">
      <c r="A31" s="9" t="n"/>
      <c r="B31" s="9" t="n"/>
      <c r="C31" s="9" t="n"/>
      <c r="D31" s="9" t="n"/>
      <c r="E31" s="9" t="n"/>
      <c r="F31" s="9" t="n"/>
      <c r="G31" s="9" t="n"/>
      <c r="H31" s="9" t="n"/>
      <c r="I31" s="9" t="n"/>
      <c r="J31" s="9" t="n"/>
      <c r="K31" s="9" t="n"/>
      <c r="L31" s="12">
        <f>IFERROR(K31/J31,"")</f>
        <v/>
      </c>
      <c r="M31" s="9" t="n"/>
      <c r="N31" s="9" t="n"/>
      <c r="O31" s="9" t="n"/>
      <c r="P31" s="9" t="n"/>
      <c r="Q31" s="15">
        <f>IFERROR((M31+N31+O31)/H31,"")</f>
        <v/>
      </c>
      <c r="R31" s="9" t="n"/>
      <c r="S31" s="9" t="n"/>
      <c r="T31" s="9" t="n"/>
      <c r="U31" s="12">
        <f>IF(S31="Sim",IFERROR(T31/M31,""),"")</f>
        <v/>
      </c>
      <c r="V31" s="16">
        <f>IF(OR(H31="",$Y$3=""),"",IF(AND(OR(C31&lt;&gt;"Reel",L31&gt;=$Y$2),Q31&gt;=$Y$3),"Sim","Não"))</f>
        <v/>
      </c>
      <c r="W31" s="9" t="n"/>
    </row>
    <row r="32">
      <c r="A32" s="9" t="n"/>
      <c r="B32" s="9" t="n"/>
      <c r="C32" s="9" t="n"/>
      <c r="D32" s="9" t="n"/>
      <c r="E32" s="9" t="n"/>
      <c r="F32" s="9" t="n"/>
      <c r="G32" s="9" t="n"/>
      <c r="H32" s="9" t="n"/>
      <c r="I32" s="9" t="n"/>
      <c r="J32" s="9" t="n"/>
      <c r="K32" s="9" t="n"/>
      <c r="L32" s="12">
        <f>IFERROR(K32/J32,"")</f>
        <v/>
      </c>
      <c r="M32" s="9" t="n"/>
      <c r="N32" s="9" t="n"/>
      <c r="O32" s="9" t="n"/>
      <c r="P32" s="9" t="n"/>
      <c r="Q32" s="15">
        <f>IFERROR((M32+N32+O32)/H32,"")</f>
        <v/>
      </c>
      <c r="R32" s="9" t="n"/>
      <c r="S32" s="9" t="n"/>
      <c r="T32" s="9" t="n"/>
      <c r="U32" s="12">
        <f>IF(S32="Sim",IFERROR(T32/M32,""),"")</f>
        <v/>
      </c>
      <c r="V32" s="16">
        <f>IF(OR(H32="",$Y$3=""),"",IF(AND(OR(C32&lt;&gt;"Reel",L32&gt;=$Y$2),Q32&gt;=$Y$3),"Sim","Não"))</f>
        <v/>
      </c>
      <c r="W32" s="9" t="n"/>
    </row>
    <row r="33">
      <c r="A33" s="9" t="n"/>
      <c r="B33" s="9" t="n"/>
      <c r="C33" s="9" t="n"/>
      <c r="D33" s="9" t="n"/>
      <c r="E33" s="9" t="n"/>
      <c r="F33" s="9" t="n"/>
      <c r="G33" s="9" t="n"/>
      <c r="H33" s="9" t="n"/>
      <c r="I33" s="9" t="n"/>
      <c r="J33" s="9" t="n"/>
      <c r="K33" s="9" t="n"/>
      <c r="L33" s="12">
        <f>IFERROR(K33/J33,"")</f>
        <v/>
      </c>
      <c r="M33" s="9" t="n"/>
      <c r="N33" s="9" t="n"/>
      <c r="O33" s="9" t="n"/>
      <c r="P33" s="9" t="n"/>
      <c r="Q33" s="15">
        <f>IFERROR((M33+N33+O33)/H33,"")</f>
        <v/>
      </c>
      <c r="R33" s="9" t="n"/>
      <c r="S33" s="9" t="n"/>
      <c r="T33" s="9" t="n"/>
      <c r="U33" s="12">
        <f>IF(S33="Sim",IFERROR(T33/M33,""),"")</f>
        <v/>
      </c>
      <c r="V33" s="16">
        <f>IF(OR(H33="",$Y$3=""),"",IF(AND(OR(C33&lt;&gt;"Reel",L33&gt;=$Y$2),Q33&gt;=$Y$3),"Sim","Não"))</f>
        <v/>
      </c>
      <c r="W33" s="9" t="n"/>
    </row>
    <row r="34">
      <c r="A34" s="9" t="n"/>
      <c r="B34" s="9" t="n"/>
      <c r="C34" s="9" t="n"/>
      <c r="D34" s="9" t="n"/>
      <c r="E34" s="9" t="n"/>
      <c r="F34" s="9" t="n"/>
      <c r="G34" s="9" t="n"/>
      <c r="H34" s="9" t="n"/>
      <c r="I34" s="9" t="n"/>
      <c r="J34" s="9" t="n"/>
      <c r="K34" s="9" t="n"/>
      <c r="L34" s="12">
        <f>IFERROR(K34/J34,"")</f>
        <v/>
      </c>
      <c r="M34" s="9" t="n"/>
      <c r="N34" s="9" t="n"/>
      <c r="O34" s="9" t="n"/>
      <c r="P34" s="9" t="n"/>
      <c r="Q34" s="15">
        <f>IFERROR((M34+N34+O34)/H34,"")</f>
        <v/>
      </c>
      <c r="R34" s="9" t="n"/>
      <c r="S34" s="9" t="n"/>
      <c r="T34" s="9" t="n"/>
      <c r="U34" s="12">
        <f>IF(S34="Sim",IFERROR(T34/M34,""),"")</f>
        <v/>
      </c>
      <c r="V34" s="16">
        <f>IF(OR(H34="",$Y$3=""),"",IF(AND(OR(C34&lt;&gt;"Reel",L34&gt;=$Y$2),Q34&gt;=$Y$3),"Sim","Não"))</f>
        <v/>
      </c>
      <c r="W34" s="9" t="n"/>
    </row>
    <row r="35">
      <c r="A35" s="9" t="n"/>
      <c r="B35" s="9" t="n"/>
      <c r="C35" s="9" t="n"/>
      <c r="D35" s="9" t="n"/>
      <c r="E35" s="9" t="n"/>
      <c r="F35" s="9" t="n"/>
      <c r="G35" s="9" t="n"/>
      <c r="H35" s="9" t="n"/>
      <c r="I35" s="9" t="n"/>
      <c r="J35" s="9" t="n"/>
      <c r="K35" s="9" t="n"/>
      <c r="L35" s="12">
        <f>IFERROR(K35/J35,"")</f>
        <v/>
      </c>
      <c r="M35" s="9" t="n"/>
      <c r="N35" s="9" t="n"/>
      <c r="O35" s="9" t="n"/>
      <c r="P35" s="9" t="n"/>
      <c r="Q35" s="15">
        <f>IFERROR((M35+N35+O35)/H35,"")</f>
        <v/>
      </c>
      <c r="R35" s="9" t="n"/>
      <c r="S35" s="9" t="n"/>
      <c r="T35" s="9" t="n"/>
      <c r="U35" s="12">
        <f>IF(S35="Sim",IFERROR(T35/M35,""),"")</f>
        <v/>
      </c>
      <c r="V35" s="16">
        <f>IF(OR(H35="",$Y$3=""),"",IF(AND(OR(C35&lt;&gt;"Reel",L35&gt;=$Y$2),Q35&gt;=$Y$3),"Sim","Não"))</f>
        <v/>
      </c>
      <c r="W35" s="9" t="n"/>
    </row>
    <row r="36">
      <c r="A36" s="9" t="n"/>
      <c r="B36" s="9" t="n"/>
      <c r="C36" s="9" t="n"/>
      <c r="D36" s="9" t="n"/>
      <c r="E36" s="9" t="n"/>
      <c r="F36" s="9" t="n"/>
      <c r="G36" s="9" t="n"/>
      <c r="H36" s="9" t="n"/>
      <c r="I36" s="9" t="n"/>
      <c r="J36" s="9" t="n"/>
      <c r="K36" s="9" t="n"/>
      <c r="L36" s="12">
        <f>IFERROR(K36/J36,"")</f>
        <v/>
      </c>
      <c r="M36" s="9" t="n"/>
      <c r="N36" s="9" t="n"/>
      <c r="O36" s="9" t="n"/>
      <c r="P36" s="9" t="n"/>
      <c r="Q36" s="15">
        <f>IFERROR((M36+N36+O36)/H36,"")</f>
        <v/>
      </c>
      <c r="R36" s="9" t="n"/>
      <c r="S36" s="9" t="n"/>
      <c r="T36" s="9" t="n"/>
      <c r="U36" s="12">
        <f>IF(S36="Sim",IFERROR(T36/M36,""),"")</f>
        <v/>
      </c>
      <c r="V36" s="16">
        <f>IF(OR(H36="",$Y$3=""),"",IF(AND(OR(C36&lt;&gt;"Reel",L36&gt;=$Y$2),Q36&gt;=$Y$3),"Sim","Não"))</f>
        <v/>
      </c>
      <c r="W36" s="9" t="n"/>
    </row>
    <row r="37">
      <c r="A37" s="9" t="n"/>
      <c r="B37" s="9" t="n"/>
      <c r="C37" s="9" t="n"/>
      <c r="D37" s="9" t="n"/>
      <c r="E37" s="9" t="n"/>
      <c r="F37" s="9" t="n"/>
      <c r="G37" s="9" t="n"/>
      <c r="H37" s="9" t="n"/>
      <c r="I37" s="9" t="n"/>
      <c r="J37" s="9" t="n"/>
      <c r="K37" s="9" t="n"/>
      <c r="L37" s="12">
        <f>IFERROR(K37/J37,"")</f>
        <v/>
      </c>
      <c r="M37" s="9" t="n"/>
      <c r="N37" s="9" t="n"/>
      <c r="O37" s="9" t="n"/>
      <c r="P37" s="9" t="n"/>
      <c r="Q37" s="15">
        <f>IFERROR((M37+N37+O37)/H37,"")</f>
        <v/>
      </c>
      <c r="R37" s="9" t="n"/>
      <c r="S37" s="9" t="n"/>
      <c r="T37" s="9" t="n"/>
      <c r="U37" s="12">
        <f>IF(S37="Sim",IFERROR(T37/M37,""),"")</f>
        <v/>
      </c>
      <c r="V37" s="16">
        <f>IF(OR(H37="",$Y$3=""),"",IF(AND(OR(C37&lt;&gt;"Reel",L37&gt;=$Y$2),Q37&gt;=$Y$3),"Sim","Não"))</f>
        <v/>
      </c>
      <c r="W37" s="9" t="n"/>
    </row>
    <row r="38">
      <c r="A38" s="9" t="n"/>
      <c r="B38" s="9" t="n"/>
      <c r="C38" s="9" t="n"/>
      <c r="D38" s="9" t="n"/>
      <c r="E38" s="9" t="n"/>
      <c r="F38" s="9" t="n"/>
      <c r="G38" s="9" t="n"/>
      <c r="H38" s="9" t="n"/>
      <c r="I38" s="9" t="n"/>
      <c r="J38" s="9" t="n"/>
      <c r="K38" s="9" t="n"/>
      <c r="L38" s="12">
        <f>IFERROR(K38/J38,"")</f>
        <v/>
      </c>
      <c r="M38" s="9" t="n"/>
      <c r="N38" s="9" t="n"/>
      <c r="O38" s="9" t="n"/>
      <c r="P38" s="9" t="n"/>
      <c r="Q38" s="15">
        <f>IFERROR((M38+N38+O38)/H38,"")</f>
        <v/>
      </c>
      <c r="R38" s="9" t="n"/>
      <c r="S38" s="9" t="n"/>
      <c r="T38" s="9" t="n"/>
      <c r="U38" s="12">
        <f>IF(S38="Sim",IFERROR(T38/M38,""),"")</f>
        <v/>
      </c>
      <c r="V38" s="16">
        <f>IF(OR(H38="",$Y$3=""),"",IF(AND(OR(C38&lt;&gt;"Reel",L38&gt;=$Y$2),Q38&gt;=$Y$3),"Sim","Não"))</f>
        <v/>
      </c>
      <c r="W38" s="9" t="n"/>
    </row>
    <row r="39">
      <c r="A39" s="9" t="n"/>
      <c r="B39" s="9" t="n"/>
      <c r="C39" s="9" t="n"/>
      <c r="D39" s="9" t="n"/>
      <c r="E39" s="9" t="n"/>
      <c r="F39" s="9" t="n"/>
      <c r="G39" s="9" t="n"/>
      <c r="H39" s="9" t="n"/>
      <c r="I39" s="9" t="n"/>
      <c r="J39" s="9" t="n"/>
      <c r="K39" s="9" t="n"/>
      <c r="L39" s="12">
        <f>IFERROR(K39/J39,"")</f>
        <v/>
      </c>
      <c r="M39" s="9" t="n"/>
      <c r="N39" s="9" t="n"/>
      <c r="O39" s="9" t="n"/>
      <c r="P39" s="9" t="n"/>
      <c r="Q39" s="15">
        <f>IFERROR((M39+N39+O39)/H39,"")</f>
        <v/>
      </c>
      <c r="R39" s="9" t="n"/>
      <c r="S39" s="9" t="n"/>
      <c r="T39" s="9" t="n"/>
      <c r="U39" s="12">
        <f>IF(S39="Sim",IFERROR(T39/M39,""),"")</f>
        <v/>
      </c>
      <c r="V39" s="16">
        <f>IF(OR(H39="",$Y$3=""),"",IF(AND(OR(C39&lt;&gt;"Reel",L39&gt;=$Y$2),Q39&gt;=$Y$3),"Sim","Não"))</f>
        <v/>
      </c>
      <c r="W39" s="9" t="n"/>
    </row>
    <row r="40">
      <c r="A40" s="9" t="n"/>
      <c r="B40" s="9" t="n"/>
      <c r="C40" s="9" t="n"/>
      <c r="D40" s="9" t="n"/>
      <c r="E40" s="9" t="n"/>
      <c r="F40" s="9" t="n"/>
      <c r="G40" s="9" t="n"/>
      <c r="H40" s="9" t="n"/>
      <c r="I40" s="9" t="n"/>
      <c r="J40" s="9" t="n"/>
      <c r="K40" s="9" t="n"/>
      <c r="L40" s="12">
        <f>IFERROR(K40/J40,"")</f>
        <v/>
      </c>
      <c r="M40" s="9" t="n"/>
      <c r="N40" s="9" t="n"/>
      <c r="O40" s="9" t="n"/>
      <c r="P40" s="9" t="n"/>
      <c r="Q40" s="15">
        <f>IFERROR((M40+N40+O40)/H40,"")</f>
        <v/>
      </c>
      <c r="R40" s="9" t="n"/>
      <c r="S40" s="9" t="n"/>
      <c r="T40" s="9" t="n"/>
      <c r="U40" s="12">
        <f>IF(S40="Sim",IFERROR(T40/M40,""),"")</f>
        <v/>
      </c>
      <c r="V40" s="16">
        <f>IF(OR(H40="",$Y$3=""),"",IF(AND(OR(C40&lt;&gt;"Reel",L40&gt;=$Y$2),Q40&gt;=$Y$3),"Sim","Não"))</f>
        <v/>
      </c>
      <c r="W40" s="9" t="n"/>
    </row>
    <row r="41">
      <c r="A41" s="9" t="n"/>
      <c r="B41" s="9" t="n"/>
      <c r="C41" s="9" t="n"/>
      <c r="D41" s="9" t="n"/>
      <c r="E41" s="9" t="n"/>
      <c r="F41" s="9" t="n"/>
      <c r="G41" s="9" t="n"/>
      <c r="H41" s="9" t="n"/>
      <c r="I41" s="9" t="n"/>
      <c r="J41" s="9" t="n"/>
      <c r="K41" s="9" t="n"/>
      <c r="L41" s="12">
        <f>IFERROR(K41/J41,"")</f>
        <v/>
      </c>
      <c r="M41" s="9" t="n"/>
      <c r="N41" s="9" t="n"/>
      <c r="O41" s="9" t="n"/>
      <c r="P41" s="9" t="n"/>
      <c r="Q41" s="15">
        <f>IFERROR((M41+N41+O41)/H41,"")</f>
        <v/>
      </c>
      <c r="R41" s="9" t="n"/>
      <c r="S41" s="9" t="n"/>
      <c r="T41" s="9" t="n"/>
      <c r="U41" s="12">
        <f>IF(S41="Sim",IFERROR(T41/M41,""),"")</f>
        <v/>
      </c>
      <c r="V41" s="16">
        <f>IF(OR(H41="",$Y$3=""),"",IF(AND(OR(C41&lt;&gt;"Reel",L41&gt;=$Y$2),Q41&gt;=$Y$3),"Sim","Não"))</f>
        <v/>
      </c>
      <c r="W41" s="9" t="n"/>
    </row>
    <row r="42">
      <c r="A42" s="9" t="n"/>
      <c r="B42" s="9" t="n"/>
      <c r="C42" s="9" t="n"/>
      <c r="D42" s="9" t="n"/>
      <c r="E42" s="9" t="n"/>
      <c r="F42" s="9" t="n"/>
      <c r="G42" s="9" t="n"/>
      <c r="H42" s="9" t="n"/>
      <c r="I42" s="9" t="n"/>
      <c r="J42" s="9" t="n"/>
      <c r="K42" s="9" t="n"/>
      <c r="L42" s="12">
        <f>IFERROR(K42/J42,"")</f>
        <v/>
      </c>
      <c r="M42" s="9" t="n"/>
      <c r="N42" s="9" t="n"/>
      <c r="O42" s="9" t="n"/>
      <c r="P42" s="9" t="n"/>
      <c r="Q42" s="15">
        <f>IFERROR((M42+N42+O42)/H42,"")</f>
        <v/>
      </c>
      <c r="R42" s="9" t="n"/>
      <c r="S42" s="9" t="n"/>
      <c r="T42" s="9" t="n"/>
      <c r="U42" s="12">
        <f>IF(S42="Sim",IFERROR(T42/M42,""),"")</f>
        <v/>
      </c>
      <c r="V42" s="16">
        <f>IF(OR(H42="",$Y$3=""),"",IF(AND(OR(C42&lt;&gt;"Reel",L42&gt;=$Y$2),Q42&gt;=$Y$3),"Sim","Não"))</f>
        <v/>
      </c>
      <c r="W42" s="9" t="n"/>
    </row>
    <row r="43">
      <c r="A43" s="9" t="n"/>
      <c r="B43" s="9" t="n"/>
      <c r="C43" s="9" t="n"/>
      <c r="D43" s="9" t="n"/>
      <c r="E43" s="9" t="n"/>
      <c r="F43" s="9" t="n"/>
      <c r="G43" s="9" t="n"/>
      <c r="H43" s="9" t="n"/>
      <c r="I43" s="9" t="n"/>
      <c r="J43" s="9" t="n"/>
      <c r="K43" s="9" t="n"/>
      <c r="L43" s="12">
        <f>IFERROR(K43/J43,"")</f>
        <v/>
      </c>
      <c r="M43" s="9" t="n"/>
      <c r="N43" s="9" t="n"/>
      <c r="O43" s="9" t="n"/>
      <c r="P43" s="9" t="n"/>
      <c r="Q43" s="15">
        <f>IFERROR((M43+N43+O43)/H43,"")</f>
        <v/>
      </c>
      <c r="R43" s="9" t="n"/>
      <c r="S43" s="9" t="n"/>
      <c r="T43" s="9" t="n"/>
      <c r="U43" s="12">
        <f>IF(S43="Sim",IFERROR(T43/M43,""),"")</f>
        <v/>
      </c>
      <c r="V43" s="16">
        <f>IF(OR(H43="",$Y$3=""),"",IF(AND(OR(C43&lt;&gt;"Reel",L43&gt;=$Y$2),Q43&gt;=$Y$3),"Sim","Não"))</f>
        <v/>
      </c>
      <c r="W43" s="9" t="n"/>
    </row>
    <row r="44">
      <c r="A44" s="9" t="n"/>
      <c r="B44" s="9" t="n"/>
      <c r="C44" s="9" t="n"/>
      <c r="D44" s="9" t="n"/>
      <c r="E44" s="9" t="n"/>
      <c r="F44" s="9" t="n"/>
      <c r="G44" s="9" t="n"/>
      <c r="H44" s="9" t="n"/>
      <c r="I44" s="9" t="n"/>
      <c r="J44" s="9" t="n"/>
      <c r="K44" s="9" t="n"/>
      <c r="L44" s="12">
        <f>IFERROR(K44/J44,"")</f>
        <v/>
      </c>
      <c r="M44" s="9" t="n"/>
      <c r="N44" s="9" t="n"/>
      <c r="O44" s="9" t="n"/>
      <c r="P44" s="9" t="n"/>
      <c r="Q44" s="15">
        <f>IFERROR((M44+N44+O44)/H44,"")</f>
        <v/>
      </c>
      <c r="R44" s="9" t="n"/>
      <c r="S44" s="9" t="n"/>
      <c r="T44" s="9" t="n"/>
      <c r="U44" s="12">
        <f>IF(S44="Sim",IFERROR(T44/M44,""),"")</f>
        <v/>
      </c>
      <c r="V44" s="16">
        <f>IF(OR(H44="",$Y$3=""),"",IF(AND(OR(C44&lt;&gt;"Reel",L44&gt;=$Y$2),Q44&gt;=$Y$3),"Sim","Não"))</f>
        <v/>
      </c>
      <c r="W44" s="9" t="n"/>
    </row>
  </sheetData>
  <dataValidations count="3">
    <dataValidation sqref="C5 C6 C7 C8 C9 C10 C11 C12 C13 C14 C15 C16 C17 C18 C19 C20 C21 C22 C23 C24 C25 C26 C27 C28 C29 C30 C31 C32 C33 C34 C35 C36 C37 C38 C39 C40 C41 C42 C43 C44" showDropDown="0" showInputMessage="0" showErrorMessage="0" allowBlank="0" type="list">
      <formula1>"Reel,Carrossel,Newsletter,Short,Live YouTube,Vídeo YouTube,Venda (feed)"</formula1>
    </dataValidation>
    <dataValidation sqref="D5 D6 D7 D8 D9 D10 D11 D12 D13 D14 D15 D16 D17 D18 D19 D20 D21 D22 D23 D24 D25 D26 D27 D28 D29 D30 D31 D32 D33 D34 D35 D36 D37 D38 D39 D40 D41 D42 D43 D44" showDropDown="0" showInputMessage="0" showErrorMessage="0" allowBlank="0" type="list">
      <formula1>"Gabriel,Liliane,Outro"</formula1>
    </dataValidation>
    <dataValidation sqref="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0" type="list">
      <formula1>"Sim,Não"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3" customWidth="1" min="6" max="6"/>
    <col width="12" customWidth="1" min="7" max="7"/>
    <col width="12" customWidth="1" min="8" max="8"/>
    <col width="11" customWidth="1" min="9" max="9"/>
    <col width="9" customWidth="1" min="10" max="10"/>
    <col width="14" customWidth="1" min="11" max="11"/>
    <col width="12" customWidth="1" min="12" max="12"/>
    <col width="12" customWidth="1" min="13" max="13"/>
    <col width="12" customWidth="1" min="14" max="14"/>
    <col width="12" customWidth="1" min="15" max="15"/>
    <col width="14" customWidth="1" min="16" max="16"/>
    <col width="12" customWidth="1" min="17" max="17"/>
    <col width="12" customWidth="1" min="18" max="18"/>
    <col width="12" customWidth="1" min="19" max="19"/>
    <col width="10" customWidth="1" min="20" max="20"/>
    <col width="10" customWidth="1" min="21" max="21"/>
    <col width="10" customWidth="1" min="22" max="22"/>
    <col width="10" customWidth="1" min="23" max="23"/>
    <col width="34" customWidth="1" min="24" max="24"/>
    <col width="34" customWidth="1" min="25" max="25"/>
    <col width="34" customWidth="1" min="26" max="26"/>
  </cols>
  <sheetData>
    <row r="1">
      <c r="A1" s="1" t="inlineStr">
        <is>
          <t>Relatório da semana (ela traz toda semana)</t>
        </is>
      </c>
    </row>
    <row r="3" ht="45" customHeight="1">
      <c r="A3" s="6" t="inlineStr">
        <is>
          <t>Semana (início)</t>
        </is>
      </c>
      <c r="B3" s="6" t="inlineStr">
        <is>
          <t>Seguidores (total)</t>
        </is>
      </c>
      <c r="C3" s="6" t="inlineStr">
        <is>
          <t>Seguidores novos</t>
        </is>
      </c>
      <c r="D3" s="6" t="inlineStr">
        <is>
          <t>Contas engajadas</t>
        </is>
      </c>
      <c r="E3" s="6" t="inlineStr">
        <is>
          <t>Alcance</t>
        </is>
      </c>
      <c r="F3" s="6" t="inlineStr">
        <is>
          <t>E-mails novos (captura)</t>
        </is>
      </c>
      <c r="G3" s="6" t="inlineStr">
        <is>
          <t>Newsletter: abertura %</t>
        </is>
      </c>
      <c r="H3" s="6" t="inlineStr">
        <is>
          <t>Newsletter: cliques %</t>
        </is>
      </c>
      <c r="I3" s="6" t="inlineStr">
        <is>
          <t>Descadastros</t>
        </is>
      </c>
      <c r="J3" s="6" t="inlineStr">
        <is>
          <t>Spam %</t>
        </is>
      </c>
      <c r="K3" s="6" t="inlineStr">
        <is>
          <t>Reels acima da linha de base</t>
        </is>
      </c>
      <c r="L3" s="6" t="inlineStr">
        <is>
          <t>YouTube: inscritos novos</t>
        </is>
      </c>
      <c r="M3" s="6" t="inlineStr">
        <is>
          <t>YouTube: visualizações</t>
        </is>
      </c>
      <c r="N3" s="6" t="inlineStr">
        <is>
          <t>YouTube: horas assistidas</t>
        </is>
      </c>
      <c r="O3" s="6" t="inlineStr">
        <is>
          <t>YouTube: CTR da thumb %</t>
        </is>
      </c>
      <c r="P3" s="6" t="inlineStr">
        <is>
          <t>YouTube: cliques no link da newsletter</t>
        </is>
      </c>
      <c r="Q3" s="6" t="inlineStr">
        <is>
          <t>Stories: visualizações médias</t>
        </is>
      </c>
      <c r="R3" s="6" t="inlineStr">
        <is>
          <t>Stories: respostas (enquete/caixinha)</t>
        </is>
      </c>
      <c r="S3" s="6" t="inlineStr">
        <is>
          <t>Stories: cliques no link</t>
        </is>
      </c>
      <c r="T3" s="6" t="inlineStr">
        <is>
          <t>Vendas: bio</t>
        </is>
      </c>
      <c r="U3" s="6" t="inlineStr">
        <is>
          <t>Vendas: stories</t>
        </is>
      </c>
      <c r="V3" s="6" t="inlineStr">
        <is>
          <t>Vendas: newsletter</t>
        </is>
      </c>
      <c r="W3" s="6" t="inlineStr">
        <is>
          <t>Vendas: YouTube</t>
        </is>
      </c>
      <c r="X3" s="6" t="inlineStr">
        <is>
          <t>O que funcionou</t>
        </is>
      </c>
      <c r="Y3" s="6" t="inlineStr">
        <is>
          <t>O que não funcionou</t>
        </is>
      </c>
      <c r="Z3" s="6" t="inlineStr">
        <is>
          <t>O que vou testar na semana que vem</t>
        </is>
      </c>
    </row>
    <row r="4">
      <c r="A4" s="9" t="n"/>
      <c r="B4" s="9" t="n"/>
      <c r="C4" s="9" t="n"/>
      <c r="D4" s="9" t="n"/>
      <c r="E4" s="9" t="n"/>
      <c r="F4" s="9" t="n"/>
      <c r="G4" s="9" t="n"/>
      <c r="H4" s="9" t="n"/>
      <c r="I4" s="9" t="n"/>
      <c r="J4" s="9" t="n"/>
      <c r="K4" s="16">
        <f>IF(A4="","",COUNTIFS('4. Placar por peça'!A:A,A4,'4. Placar por peça'!C:C,"Reel",'4. Placar por peça'!V:V,"Sim")&amp;" de "&amp;COUNTIFS('4. Placar por peça'!A:A,A4,'4. Placar por peça'!C:C,"Reel"))</f>
        <v/>
      </c>
      <c r="L4" s="9" t="n"/>
      <c r="M4" s="9" t="n"/>
      <c r="N4" s="9" t="n"/>
      <c r="O4" s="9" t="n"/>
      <c r="P4" s="9" t="n"/>
      <c r="Q4" s="9" t="n"/>
      <c r="R4" s="9" t="n"/>
      <c r="S4" s="9" t="n"/>
      <c r="T4" s="9" t="n"/>
      <c r="U4" s="9" t="n"/>
      <c r="V4" s="9" t="n"/>
      <c r="W4" s="9" t="n"/>
      <c r="X4" s="17" t="n"/>
      <c r="Y4" s="17" t="n"/>
      <c r="Z4" s="17" t="n"/>
    </row>
    <row r="5">
      <c r="A5" s="9" t="n"/>
      <c r="B5" s="9" t="n"/>
      <c r="C5" s="9" t="n"/>
      <c r="D5" s="9" t="n"/>
      <c r="E5" s="9" t="n"/>
      <c r="F5" s="9" t="n"/>
      <c r="G5" s="9" t="n"/>
      <c r="H5" s="9" t="n"/>
      <c r="I5" s="9" t="n"/>
      <c r="J5" s="9" t="n"/>
      <c r="K5" s="16">
        <f>IF(A5="","",COUNTIFS('4. Placar por peça'!A:A,A5,'4. Placar por peça'!C:C,"Reel",'4. Placar por peça'!V:V,"Sim")&amp;" de "&amp;COUNTIFS('4. Placar por peça'!A:A,A5,'4. Placar por peça'!C:C,"Reel"))</f>
        <v/>
      </c>
      <c r="L5" s="9" t="n"/>
      <c r="M5" s="9" t="n"/>
      <c r="N5" s="9" t="n"/>
      <c r="O5" s="9" t="n"/>
      <c r="P5" s="9" t="n"/>
      <c r="Q5" s="9" t="n"/>
      <c r="R5" s="9" t="n"/>
      <c r="S5" s="9" t="n"/>
      <c r="T5" s="9" t="n"/>
      <c r="U5" s="9" t="n"/>
      <c r="V5" s="9" t="n"/>
      <c r="W5" s="9" t="n"/>
      <c r="X5" s="17" t="n"/>
      <c r="Y5" s="17" t="n"/>
      <c r="Z5" s="17" t="n"/>
    </row>
    <row r="6">
      <c r="A6" s="9" t="n"/>
      <c r="B6" s="9" t="n"/>
      <c r="C6" s="9" t="n"/>
      <c r="D6" s="9" t="n"/>
      <c r="E6" s="9" t="n"/>
      <c r="F6" s="9" t="n"/>
      <c r="G6" s="9" t="n"/>
      <c r="H6" s="9" t="n"/>
      <c r="I6" s="9" t="n"/>
      <c r="J6" s="9" t="n"/>
      <c r="K6" s="16">
        <f>IF(A6="","",COUNTIFS('4. Placar por peça'!A:A,A6,'4. Placar por peça'!C:C,"Reel",'4. Placar por peça'!V:V,"Sim")&amp;" de "&amp;COUNTIFS('4. Placar por peça'!A:A,A6,'4. Placar por peça'!C:C,"Reel"))</f>
        <v/>
      </c>
      <c r="L6" s="9" t="n"/>
      <c r="M6" s="9" t="n"/>
      <c r="N6" s="9" t="n"/>
      <c r="O6" s="9" t="n"/>
      <c r="P6" s="9" t="n"/>
      <c r="Q6" s="9" t="n"/>
      <c r="R6" s="9" t="n"/>
      <c r="S6" s="9" t="n"/>
      <c r="T6" s="9" t="n"/>
      <c r="U6" s="9" t="n"/>
      <c r="V6" s="9" t="n"/>
      <c r="W6" s="9" t="n"/>
      <c r="X6" s="17" t="n"/>
      <c r="Y6" s="17" t="n"/>
      <c r="Z6" s="17" t="n"/>
    </row>
    <row r="7">
      <c r="A7" s="9" t="n"/>
      <c r="B7" s="9" t="n"/>
      <c r="C7" s="9" t="n"/>
      <c r="D7" s="9" t="n"/>
      <c r="E7" s="9" t="n"/>
      <c r="F7" s="9" t="n"/>
      <c r="G7" s="9" t="n"/>
      <c r="H7" s="9" t="n"/>
      <c r="I7" s="9" t="n"/>
      <c r="J7" s="9" t="n"/>
      <c r="K7" s="16">
        <f>IF(A7="","",COUNTIFS('4. Placar por peça'!A:A,A7,'4. Placar por peça'!C:C,"Reel",'4. Placar por peça'!V:V,"Sim")&amp;" de "&amp;COUNTIFS('4. Placar por peça'!A:A,A7,'4. Placar por peça'!C:C,"Reel"))</f>
        <v/>
      </c>
      <c r="L7" s="9" t="n"/>
      <c r="M7" s="9" t="n"/>
      <c r="N7" s="9" t="n"/>
      <c r="O7" s="9" t="n"/>
      <c r="P7" s="9" t="n"/>
      <c r="Q7" s="9" t="n"/>
      <c r="R7" s="9" t="n"/>
      <c r="S7" s="9" t="n"/>
      <c r="T7" s="9" t="n"/>
      <c r="U7" s="9" t="n"/>
      <c r="V7" s="9" t="n"/>
      <c r="W7" s="9" t="n"/>
      <c r="X7" s="17" t="n"/>
      <c r="Y7" s="17" t="n"/>
      <c r="Z7" s="17" t="n"/>
    </row>
    <row r="8">
      <c r="A8" s="9" t="n"/>
      <c r="B8" s="9" t="n"/>
      <c r="C8" s="9" t="n"/>
      <c r="D8" s="9" t="n"/>
      <c r="E8" s="9" t="n"/>
      <c r="F8" s="9" t="n"/>
      <c r="G8" s="9" t="n"/>
      <c r="H8" s="9" t="n"/>
      <c r="I8" s="9" t="n"/>
      <c r="J8" s="9" t="n"/>
      <c r="K8" s="16">
        <f>IF(A8="","",COUNTIFS('4. Placar por peça'!A:A,A8,'4. Placar por peça'!C:C,"Reel",'4. Placar por peça'!V:V,"Sim")&amp;" de "&amp;COUNTIFS('4. Placar por peça'!A:A,A8,'4. Placar por peça'!C:C,"Reel"))</f>
        <v/>
      </c>
      <c r="L8" s="9" t="n"/>
      <c r="M8" s="9" t="n"/>
      <c r="N8" s="9" t="n"/>
      <c r="O8" s="9" t="n"/>
      <c r="P8" s="9" t="n"/>
      <c r="Q8" s="9" t="n"/>
      <c r="R8" s="9" t="n"/>
      <c r="S8" s="9" t="n"/>
      <c r="T8" s="9" t="n"/>
      <c r="U8" s="9" t="n"/>
      <c r="V8" s="9" t="n"/>
      <c r="W8" s="9" t="n"/>
      <c r="X8" s="17" t="n"/>
      <c r="Y8" s="17" t="n"/>
      <c r="Z8" s="17" t="n"/>
    </row>
    <row r="9">
      <c r="A9" s="9" t="n"/>
      <c r="B9" s="9" t="n"/>
      <c r="C9" s="9" t="n"/>
      <c r="D9" s="9" t="n"/>
      <c r="E9" s="9" t="n"/>
      <c r="F9" s="9" t="n"/>
      <c r="G9" s="9" t="n"/>
      <c r="H9" s="9" t="n"/>
      <c r="I9" s="9" t="n"/>
      <c r="J9" s="9" t="n"/>
      <c r="K9" s="16">
        <f>IF(A9="","",COUNTIFS('4. Placar por peça'!A:A,A9,'4. Placar por peça'!C:C,"Reel",'4. Placar por peça'!V:V,"Sim")&amp;" de "&amp;COUNTIFS('4. Placar por peça'!A:A,A9,'4. Placar por peça'!C:C,"Reel"))</f>
        <v/>
      </c>
      <c r="L9" s="9" t="n"/>
      <c r="M9" s="9" t="n"/>
      <c r="N9" s="9" t="n"/>
      <c r="O9" s="9" t="n"/>
      <c r="P9" s="9" t="n"/>
      <c r="Q9" s="9" t="n"/>
      <c r="R9" s="9" t="n"/>
      <c r="S9" s="9" t="n"/>
      <c r="T9" s="9" t="n"/>
      <c r="U9" s="9" t="n"/>
      <c r="V9" s="9" t="n"/>
      <c r="W9" s="9" t="n"/>
      <c r="X9" s="17" t="n"/>
      <c r="Y9" s="17" t="n"/>
      <c r="Z9" s="17" t="n"/>
    </row>
    <row r="10">
      <c r="A10" s="9" t="n"/>
      <c r="B10" s="9" t="n"/>
      <c r="C10" s="9" t="n"/>
      <c r="D10" s="9" t="n"/>
      <c r="E10" s="9" t="n"/>
      <c r="F10" s="9" t="n"/>
      <c r="G10" s="9" t="n"/>
      <c r="H10" s="9" t="n"/>
      <c r="I10" s="9" t="n"/>
      <c r="J10" s="9" t="n"/>
      <c r="K10" s="16">
        <f>IF(A10="","",COUNTIFS('4. Placar por peça'!A:A,A10,'4. Placar por peça'!C:C,"Reel",'4. Placar por peça'!V:V,"Sim")&amp;" de "&amp;COUNTIFS('4. Placar por peça'!A:A,A10,'4. Placar por peça'!C:C,"Reel"))</f>
        <v/>
      </c>
      <c r="L10" s="9" t="n"/>
      <c r="M10" s="9" t="n"/>
      <c r="N10" s="9" t="n"/>
      <c r="O10" s="9" t="n"/>
      <c r="P10" s="9" t="n"/>
      <c r="Q10" s="9" t="n"/>
      <c r="R10" s="9" t="n"/>
      <c r="S10" s="9" t="n"/>
      <c r="T10" s="9" t="n"/>
      <c r="U10" s="9" t="n"/>
      <c r="V10" s="9" t="n"/>
      <c r="W10" s="9" t="n"/>
      <c r="X10" s="17" t="n"/>
      <c r="Y10" s="17" t="n"/>
      <c r="Z10" s="17" t="n"/>
    </row>
    <row r="11">
      <c r="A11" s="9" t="n"/>
      <c r="B11" s="9" t="n"/>
      <c r="C11" s="9" t="n"/>
      <c r="D11" s="9" t="n"/>
      <c r="E11" s="9" t="n"/>
      <c r="F11" s="9" t="n"/>
      <c r="G11" s="9" t="n"/>
      <c r="H11" s="9" t="n"/>
      <c r="I11" s="9" t="n"/>
      <c r="J11" s="9" t="n"/>
      <c r="K11" s="16">
        <f>IF(A11="","",COUNTIFS('4. Placar por peça'!A:A,A11,'4. Placar por peça'!C:C,"Reel",'4. Placar por peça'!V:V,"Sim")&amp;" de "&amp;COUNTIFS('4. Placar por peça'!A:A,A11,'4. Placar por peça'!C:C,"Reel"))</f>
        <v/>
      </c>
      <c r="L11" s="9" t="n"/>
      <c r="M11" s="9" t="n"/>
      <c r="N11" s="9" t="n"/>
      <c r="O11" s="9" t="n"/>
      <c r="P11" s="9" t="n"/>
      <c r="Q11" s="9" t="n"/>
      <c r="R11" s="9" t="n"/>
      <c r="S11" s="9" t="n"/>
      <c r="T11" s="9" t="n"/>
      <c r="U11" s="9" t="n"/>
      <c r="V11" s="9" t="n"/>
      <c r="W11" s="9" t="n"/>
      <c r="X11" s="17" t="n"/>
      <c r="Y11" s="17" t="n"/>
      <c r="Z11" s="17" t="n"/>
    </row>
    <row r="12">
      <c r="A12" s="9" t="n"/>
      <c r="B12" s="9" t="n"/>
      <c r="C12" s="9" t="n"/>
      <c r="D12" s="9" t="n"/>
      <c r="E12" s="9" t="n"/>
      <c r="F12" s="9" t="n"/>
      <c r="G12" s="9" t="n"/>
      <c r="H12" s="9" t="n"/>
      <c r="I12" s="9" t="n"/>
      <c r="J12" s="9" t="n"/>
      <c r="K12" s="16">
        <f>IF(A12="","",COUNTIFS('4. Placar por peça'!A:A,A12,'4. Placar por peça'!C:C,"Reel",'4. Placar por peça'!V:V,"Sim")&amp;" de "&amp;COUNTIFS('4. Placar por peça'!A:A,A12,'4. Placar por peça'!C:C,"Reel"))</f>
        <v/>
      </c>
      <c r="L12" s="9" t="n"/>
      <c r="M12" s="9" t="n"/>
      <c r="N12" s="9" t="n"/>
      <c r="O12" s="9" t="n"/>
      <c r="P12" s="9" t="n"/>
      <c r="Q12" s="9" t="n"/>
      <c r="R12" s="9" t="n"/>
      <c r="S12" s="9" t="n"/>
      <c r="T12" s="9" t="n"/>
      <c r="U12" s="9" t="n"/>
      <c r="V12" s="9" t="n"/>
      <c r="W12" s="9" t="n"/>
      <c r="X12" s="17" t="n"/>
      <c r="Y12" s="17" t="n"/>
      <c r="Z12" s="17" t="n"/>
    </row>
    <row r="13">
      <c r="A13" s="9" t="n"/>
      <c r="B13" s="9" t="n"/>
      <c r="C13" s="9" t="n"/>
      <c r="D13" s="9" t="n"/>
      <c r="E13" s="9" t="n"/>
      <c r="F13" s="9" t="n"/>
      <c r="G13" s="9" t="n"/>
      <c r="H13" s="9" t="n"/>
      <c r="I13" s="9" t="n"/>
      <c r="J13" s="9" t="n"/>
      <c r="K13" s="16">
        <f>IF(A13="","",COUNTIFS('4. Placar por peça'!A:A,A13,'4. Placar por peça'!C:C,"Reel",'4. Placar por peça'!V:V,"Sim")&amp;" de "&amp;COUNTIFS('4. Placar por peça'!A:A,A13,'4. Placar por peça'!C:C,"Reel"))</f>
        <v/>
      </c>
      <c r="L13" s="9" t="n"/>
      <c r="M13" s="9" t="n"/>
      <c r="N13" s="9" t="n"/>
      <c r="O13" s="9" t="n"/>
      <c r="P13" s="9" t="n"/>
      <c r="Q13" s="9" t="n"/>
      <c r="R13" s="9" t="n"/>
      <c r="S13" s="9" t="n"/>
      <c r="T13" s="9" t="n"/>
      <c r="U13" s="9" t="n"/>
      <c r="V13" s="9" t="n"/>
      <c r="W13" s="9" t="n"/>
      <c r="X13" s="17" t="n"/>
      <c r="Y13" s="17" t="n"/>
      <c r="Z13" s="17" t="n"/>
    </row>
    <row r="14">
      <c r="A14" s="9" t="n"/>
      <c r="B14" s="9" t="n"/>
      <c r="C14" s="9" t="n"/>
      <c r="D14" s="9" t="n"/>
      <c r="E14" s="9" t="n"/>
      <c r="F14" s="9" t="n"/>
      <c r="G14" s="9" t="n"/>
      <c r="H14" s="9" t="n"/>
      <c r="I14" s="9" t="n"/>
      <c r="J14" s="9" t="n"/>
      <c r="K14" s="16">
        <f>IF(A14="","",COUNTIFS('4. Placar por peça'!A:A,A14,'4. Placar por peça'!C:C,"Reel",'4. Placar por peça'!V:V,"Sim")&amp;" de "&amp;COUNTIFS('4. Placar por peça'!A:A,A14,'4. Placar por peça'!C:C,"Reel"))</f>
        <v/>
      </c>
      <c r="L14" s="9" t="n"/>
      <c r="M14" s="9" t="n"/>
      <c r="N14" s="9" t="n"/>
      <c r="O14" s="9" t="n"/>
      <c r="P14" s="9" t="n"/>
      <c r="Q14" s="9" t="n"/>
      <c r="R14" s="9" t="n"/>
      <c r="S14" s="9" t="n"/>
      <c r="T14" s="9" t="n"/>
      <c r="U14" s="9" t="n"/>
      <c r="V14" s="9" t="n"/>
      <c r="W14" s="9" t="n"/>
      <c r="X14" s="17" t="n"/>
      <c r="Y14" s="17" t="n"/>
      <c r="Z14" s="17" t="n"/>
    </row>
    <row r="15">
      <c r="A15" s="9" t="n"/>
      <c r="B15" s="9" t="n"/>
      <c r="C15" s="9" t="n"/>
      <c r="D15" s="9" t="n"/>
      <c r="E15" s="9" t="n"/>
      <c r="F15" s="9" t="n"/>
      <c r="G15" s="9" t="n"/>
      <c r="H15" s="9" t="n"/>
      <c r="I15" s="9" t="n"/>
      <c r="J15" s="9" t="n"/>
      <c r="K15" s="16">
        <f>IF(A15="","",COUNTIFS('4. Placar por peça'!A:A,A15,'4. Placar por peça'!C:C,"Reel",'4. Placar por peça'!V:V,"Sim")&amp;" de "&amp;COUNTIFS('4. Placar por peça'!A:A,A15,'4. Placar por peça'!C:C,"Reel"))</f>
        <v/>
      </c>
      <c r="L15" s="9" t="n"/>
      <c r="M15" s="9" t="n"/>
      <c r="N15" s="9" t="n"/>
      <c r="O15" s="9" t="n"/>
      <c r="P15" s="9" t="n"/>
      <c r="Q15" s="9" t="n"/>
      <c r="R15" s="9" t="n"/>
      <c r="S15" s="9" t="n"/>
      <c r="T15" s="9" t="n"/>
      <c r="U15" s="9" t="n"/>
      <c r="V15" s="9" t="n"/>
      <c r="W15" s="9" t="n"/>
      <c r="X15" s="17" t="n"/>
      <c r="Y15" s="17" t="n"/>
      <c r="Z15" s="17" t="n"/>
    </row>
    <row r="16">
      <c r="A16" s="9" t="n"/>
      <c r="B16" s="9" t="n"/>
      <c r="C16" s="9" t="n"/>
      <c r="D16" s="9" t="n"/>
      <c r="E16" s="9" t="n"/>
      <c r="F16" s="9" t="n"/>
      <c r="G16" s="9" t="n"/>
      <c r="H16" s="9" t="n"/>
      <c r="I16" s="9" t="n"/>
      <c r="J16" s="9" t="n"/>
      <c r="K16" s="16">
        <f>IF(A16="","",COUNTIFS('4. Placar por peça'!A:A,A16,'4. Placar por peça'!C:C,"Reel",'4. Placar por peça'!V:V,"Sim")&amp;" de "&amp;COUNTIFS('4. Placar por peça'!A:A,A16,'4. Placar por peça'!C:C,"Reel"))</f>
        <v/>
      </c>
      <c r="L16" s="9" t="n"/>
      <c r="M16" s="9" t="n"/>
      <c r="N16" s="9" t="n"/>
      <c r="O16" s="9" t="n"/>
      <c r="P16" s="9" t="n"/>
      <c r="Q16" s="9" t="n"/>
      <c r="R16" s="9" t="n"/>
      <c r="S16" s="9" t="n"/>
      <c r="T16" s="9" t="n"/>
      <c r="U16" s="9" t="n"/>
      <c r="V16" s="9" t="n"/>
      <c r="W16" s="9" t="n"/>
      <c r="X16" s="17" t="n"/>
      <c r="Y16" s="17" t="n"/>
      <c r="Z16" s="17" t="n"/>
    </row>
    <row r="19">
      <c r="A19" t="inlineStr">
        <is>
          <t>Atenção: olhar mais os CLIQUES do que a abertura (o iPhone marca e-mail como aberto sozinho). Spam acima de 0,1%: parar e avisar a Gisele.</t>
        </is>
      </c>
    </row>
    <row r="20">
      <c r="A20" t="inlineStr">
        <is>
          <t>Na coluna "Semana" das abas 3, 4 e 5, usar sempre a mesma data (a segunda-feira da semana), para as contas cruzarem.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6" customWidth="1" min="1" max="1"/>
    <col width="100" customWidth="1" min="2" max="2"/>
  </cols>
  <sheetData>
    <row r="1">
      <c r="A1" s="1" t="inlineStr">
        <is>
          <t>Checklist antes de mandar o roteiro para aprovação</t>
        </is>
      </c>
    </row>
    <row r="3">
      <c r="A3" t="inlineStr">
        <is>
          <t>☐</t>
        </is>
      </c>
      <c r="B3" s="3" t="inlineStr">
        <is>
          <t>GANCHO: escrevi 3 opções de abertura e escolhi a mais forte.</t>
        </is>
      </c>
    </row>
    <row r="4">
      <c r="A4" t="inlineStr">
        <is>
          <t>☐</t>
        </is>
      </c>
      <c r="B4" s="3" t="inlineStr">
        <is>
          <t>GANCHO: a primeira frase cabe em 3 segundos e cria tensão, curiosidade ou contradiz algo que a pessoa acredita.</t>
        </is>
      </c>
    </row>
    <row r="5">
      <c r="A5" t="inlineStr">
        <is>
          <t>☐</t>
        </is>
      </c>
      <c r="B5" s="3" t="inlineStr">
        <is>
          <t>GANCHO: tem texto grande na tela nos 3 primeiros segundos (muita gente assiste sem som).</t>
        </is>
      </c>
    </row>
    <row r="6">
      <c r="A6" t="inlineStr">
        <is>
          <t>☐</t>
        </is>
      </c>
      <c r="B6" s="3" t="inlineStr">
        <is>
          <t>IMAGEM: escolhi as imagens de cada parte (reais, sem IA) e elas mostram aquilo que está sendo dito.</t>
        </is>
      </c>
    </row>
    <row r="7">
      <c r="A7" t="inlineStr">
        <is>
          <t>☐</t>
        </is>
      </c>
      <c r="B7" s="3" t="inlineStr">
        <is>
          <t>IMAGEM: a primeira imagem/cena é a mais forte e já se entende sem som.</t>
        </is>
      </c>
    </row>
    <row r="8">
      <c r="A8" t="inlineStr">
        <is>
          <t>☐</t>
        </is>
      </c>
      <c r="B8" s="3" t="inlineStr">
        <is>
          <t>IMAGEM: depoimento ou exame com autorização e sem dados que identifiquem.</t>
        </is>
      </c>
    </row>
    <row r="9">
      <c r="A9" t="inlineStr">
        <is>
          <t>☐</t>
        </is>
      </c>
      <c r="B9" s="3" t="inlineStr">
        <is>
          <t>GANCHO: não começa com "Oi, gente", apresentação ou contexto.</t>
        </is>
      </c>
    </row>
    <row r="10">
      <c r="A10" t="inlineStr">
        <is>
          <t>☐</t>
        </is>
      </c>
      <c r="B10" s="3" t="inlineStr">
        <is>
          <t>RETENÇÃO: cada frase dá motivo para ouvir a próxima. Cortei toda frase que não faz falta.</t>
        </is>
      </c>
    </row>
    <row r="11">
      <c r="A11" t="inlineStr">
        <is>
          <t>☐</t>
        </is>
      </c>
      <c r="B11" s="3" t="inlineStr">
        <is>
          <t>RETENÇÃO: a promessa do gancho só é paga no final (ou perto dele).</t>
        </is>
      </c>
    </row>
    <row r="12">
      <c r="A12" t="inlineStr">
        <is>
          <t>☐</t>
        </is>
      </c>
      <c r="B12" s="3" t="inlineStr">
        <is>
          <t>RETENÇÃO: o reel tem até 45 segundos, salvo motivo forte.</t>
        </is>
      </c>
    </row>
    <row r="13">
      <c r="A13" t="inlineStr">
        <is>
          <t>☐</t>
        </is>
      </c>
      <c r="B13" s="3" t="inlineStr">
        <is>
          <t>RETENÇÃO: marquei onde entra mudança visual (corte, texto, imagem) a cada 3 a 5 segundos.</t>
        </is>
      </c>
    </row>
    <row r="14">
      <c r="A14" t="inlineStr">
        <is>
          <t>☐</t>
        </is>
      </c>
      <c r="B14" s="3" t="inlineStr">
        <is>
          <t>CONVERSÃO: tem UM pedido só no final (comentar, salvar, seguir, compartilhar ou ir para a newsletter).</t>
        </is>
      </c>
    </row>
    <row r="15">
      <c r="A15" t="inlineStr">
        <is>
          <t>☐</t>
        </is>
      </c>
      <c r="B15" s="3" t="inlineStr">
        <is>
          <t>CONVERSÃO: se é captura, a palavra-chave e o material estão claros e a automação está pronta.</t>
        </is>
      </c>
    </row>
    <row r="16">
      <c r="A16" t="inlineStr">
        <is>
          <t>☐</t>
        </is>
      </c>
      <c r="B16" s="3" t="inlineStr">
        <is>
          <t>FATOS: todo dado técnico vem do material da FSA (live, aula) ou tem fonte.</t>
        </is>
      </c>
    </row>
    <row r="17">
      <c r="A17" t="inlineStr">
        <is>
          <t>☐</t>
        </is>
      </c>
      <c r="B17" s="3" t="inlineStr">
        <is>
          <t>CARROSSEL DA NEWSLETTER: a capa NÃO diz "tema da newsletter". Abre com a ideia que quebra a cabeça; a newsletter só aparece no último slide.</t>
        </is>
      </c>
    </row>
    <row r="18">
      <c r="A18" t="inlineStr">
        <is>
          <t>☐</t>
        </is>
      </c>
      <c r="B18" s="3" t="inlineStr">
        <is>
          <t>REGRAS: sem promessa de cura ou resultado garantido; dentro das regras do conselho.</t>
        </is>
      </c>
    </row>
    <row r="19">
      <c r="A19" t="inlineStr">
        <is>
          <t>☐</t>
        </is>
      </c>
      <c r="B19" s="3" t="inlineStr">
        <is>
          <t>YOUTUBE (thumb): tem rosto grande com expressão forte, até 4 palavras, flecha ou círculo no elemento principal, e dá para ler no celular. Nunca só nome ou texto.</t>
        </is>
      </c>
    </row>
    <row r="20">
      <c r="A20" t="inlineStr">
        <is>
          <t>☐</t>
        </is>
      </c>
      <c r="B20" s="3" t="inlineStr">
        <is>
          <t>YOUTUBE (vídeo roteirizado): a promessa do vídeo aparece nos primeiros 30 segundos.</t>
        </is>
      </c>
    </row>
    <row r="21">
      <c r="A21" t="inlineStr">
        <is>
          <t>☐</t>
        </is>
      </c>
      <c r="B21" s="3" t="inlineStr">
        <is>
          <t>YOUTUBE (live): título com a palavra que a pessoa buscaria, capa com foto real e texto grande, descrição com resumo, momentos principais e link da newsletter, comentário fixado com o link.</t>
        </is>
      </c>
    </row>
    <row r="22">
      <c r="A22" t="inlineStr">
        <is>
          <t>☐</t>
        </is>
      </c>
      <c r="B22" s="3" t="inlineStr">
        <is>
          <t>STORIES DE VENDA: tem pelo menos 2 stories de contexto antes; o link está só no último; é falado por uma pessoa; não tem urgência falsa nem preço solto.</t>
        </is>
      </c>
    </row>
    <row r="23">
      <c r="A23" t="inlineStr">
        <is>
          <t>☐</t>
        </is>
      </c>
      <c r="B23" s="3" t="inlineStr">
        <is>
          <t>CAMPANHA: se fala de oferta, diz exatamente o que a página de destino diz (mesma frase, número, prazo).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20" customWidth="1" min="2" max="2"/>
    <col width="22" customWidth="1" min="3" max="3"/>
    <col width="16" customWidth="1" min="4" max="4"/>
    <col width="50" customWidth="1" min="5" max="5"/>
    <col width="14" customWidth="1" min="6" max="6"/>
    <col width="12" customWidth="1" min="7" max="7"/>
    <col width="12" customWidth="1" min="8" max="8"/>
  </cols>
  <sheetData>
    <row r="1">
      <c r="A1" s="1" t="inlineStr">
        <is>
          <t>Calendário de captura (1 por semana, em rodízio)</t>
        </is>
      </c>
    </row>
    <row r="3">
      <c r="A3" s="6" t="inlineStr">
        <is>
          <t>Semana</t>
        </is>
      </c>
      <c r="B3" s="6" t="inlineStr">
        <is>
          <t>Tipo</t>
        </is>
      </c>
      <c r="C3" s="6" t="inlineStr">
        <is>
          <t>Formação ligada</t>
        </is>
      </c>
      <c r="D3" s="6" t="inlineStr">
        <is>
          <t>Palavra-chave</t>
        </is>
      </c>
      <c r="E3" s="6" t="inlineStr">
        <is>
          <t>Material (o que a pessoa recebe)</t>
        </is>
      </c>
      <c r="F3" s="6" t="inlineStr">
        <is>
          <t>Tirado de qual material?</t>
        </is>
      </c>
      <c r="G3" s="6" t="inlineStr">
        <is>
          <t>Comentários</t>
        </is>
      </c>
      <c r="H3" s="6" t="inlineStr">
        <is>
          <t>E-mails gerados</t>
        </is>
      </c>
    </row>
    <row r="4">
      <c r="A4" s="9" t="n"/>
      <c r="B4" s="11" t="inlineStr">
        <is>
          <t>Fica na DM</t>
        </is>
      </c>
      <c r="C4" s="9" t="n"/>
      <c r="D4" s="9" t="n"/>
      <c r="E4" s="9" t="n"/>
      <c r="F4" s="9" t="n"/>
      <c r="G4" s="9" t="n"/>
      <c r="H4" s="9" t="n"/>
    </row>
    <row r="5">
      <c r="A5" s="9" t="n"/>
      <c r="B5" s="11" t="inlineStr">
        <is>
          <t>DM para e-mail</t>
        </is>
      </c>
      <c r="C5" s="9" t="n"/>
      <c r="D5" s="9" t="n"/>
      <c r="E5" s="9" t="n"/>
      <c r="F5" s="9" t="n"/>
      <c r="G5" s="9" t="n"/>
      <c r="H5" s="9" t="n"/>
    </row>
    <row r="6">
      <c r="A6" s="9" t="n"/>
      <c r="B6" s="11" t="inlineStr">
        <is>
          <t>Convite newsletter</t>
        </is>
      </c>
      <c r="C6" s="9" t="n"/>
      <c r="D6" s="9" t="n"/>
      <c r="E6" s="9" t="n"/>
      <c r="F6" s="9" t="n"/>
      <c r="G6" s="9" t="n"/>
      <c r="H6" s="9" t="n"/>
    </row>
    <row r="7">
      <c r="A7" s="9" t="n"/>
      <c r="B7" s="11" t="inlineStr">
        <is>
          <t>DM para e-mail</t>
        </is>
      </c>
      <c r="C7" s="9" t="n"/>
      <c r="D7" s="9" t="n"/>
      <c r="E7" s="9" t="n"/>
      <c r="F7" s="9" t="n"/>
      <c r="G7" s="9" t="n"/>
      <c r="H7" s="9" t="n"/>
    </row>
    <row r="8">
      <c r="A8" s="9" t="n"/>
      <c r="B8" s="11" t="inlineStr">
        <is>
          <t>Fica na DM</t>
        </is>
      </c>
      <c r="C8" s="9" t="n"/>
      <c r="D8" s="9" t="n"/>
      <c r="E8" s="9" t="n"/>
      <c r="F8" s="9" t="n"/>
      <c r="G8" s="9" t="n"/>
      <c r="H8" s="9" t="n"/>
    </row>
    <row r="9">
      <c r="A9" s="9" t="n"/>
      <c r="B9" s="11" t="inlineStr">
        <is>
          <t>DM para e-mail</t>
        </is>
      </c>
      <c r="C9" s="9" t="n"/>
      <c r="D9" s="9" t="n"/>
      <c r="E9" s="9" t="n"/>
      <c r="F9" s="9" t="n"/>
      <c r="G9" s="9" t="n"/>
      <c r="H9" s="9" t="n"/>
    </row>
    <row r="10">
      <c r="A10" s="9" t="n"/>
      <c r="B10" s="11" t="inlineStr">
        <is>
          <t>Convite newsletter</t>
        </is>
      </c>
      <c r="C10" s="9" t="n"/>
      <c r="D10" s="9" t="n"/>
      <c r="E10" s="9" t="n"/>
      <c r="F10" s="9" t="n"/>
      <c r="G10" s="9" t="n"/>
      <c r="H10" s="9" t="n"/>
    </row>
    <row r="11">
      <c r="A11" s="9" t="n"/>
      <c r="B11" s="11" t="inlineStr">
        <is>
          <t>DM para e-mail</t>
        </is>
      </c>
      <c r="C11" s="9" t="n"/>
      <c r="D11" s="9" t="n"/>
      <c r="E11" s="9" t="n"/>
      <c r="F11" s="9" t="n"/>
      <c r="G11" s="9" t="n"/>
      <c r="H11" s="9"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26" customWidth="1" min="1" max="1"/>
    <col width="26" customWidth="1" min="2" max="2"/>
    <col width="40" customWidth="1" min="3" max="3"/>
    <col width="36" customWidth="1" min="4" max="4"/>
    <col width="36" customWidth="1" min="5" max="5"/>
    <col width="14" customWidth="1" min="6" max="6"/>
    <col width="14" customWidth="1" min="7" max="7"/>
    <col width="14" customWidth="1" min="8" max="8"/>
    <col width="30" customWidth="1" min="9" max="9"/>
  </cols>
  <sheetData>
    <row r="1">
      <c r="A1" s="1" t="inlineStr">
        <is>
          <t>Produto da semana (venda sem oferta, preço cheio)</t>
        </is>
      </c>
    </row>
    <row r="2">
      <c r="A2" t="inlineStr">
        <is>
          <t>Novembro: semanas 1 e 2 só conteúdo (pós-Black). Venda contínua a partir da 3ª semana. Mentoria: 1 vez por mês.</t>
        </is>
      </c>
    </row>
    <row r="4">
      <c r="A4" s="6" t="inlineStr">
        <is>
          <t>Semana (início)</t>
        </is>
      </c>
      <c r="B4" s="6" t="inlineStr">
        <is>
          <t>Tema da live</t>
        </is>
      </c>
      <c r="C4" s="6" t="inlineStr">
        <is>
          <t>Produto em destaque</t>
        </is>
      </c>
      <c r="D4" s="6" t="inlineStr">
        <is>
          <t>Tipo</t>
        </is>
      </c>
      <c r="E4" s="6" t="inlineStr">
        <is>
          <t>2 peças de venda no feed (quais)</t>
        </is>
      </c>
      <c r="F4" s="6" t="inlineStr">
        <is>
          <t>Story de venda todo dia?</t>
        </is>
      </c>
      <c r="G4" s="6" t="inlineStr">
        <is>
          <t>Bloco na newsletter?</t>
        </is>
      </c>
      <c r="H4" s="6" t="inlineStr">
        <is>
          <t>Vendas do produto na semana</t>
        </is>
      </c>
      <c r="I4" s="6" t="inlineStr">
        <is>
          <t>Observação</t>
        </is>
      </c>
    </row>
    <row r="5">
      <c r="A5" s="9" t="n"/>
      <c r="B5" s="9" t="n"/>
      <c r="C5" s="9" t="n"/>
      <c r="D5" s="9" t="n"/>
      <c r="E5" s="9" t="n"/>
      <c r="F5" s="9" t="n"/>
      <c r="G5" s="9" t="n"/>
      <c r="H5" s="9" t="n"/>
      <c r="I5" s="9" t="n"/>
    </row>
    <row r="6">
      <c r="A6" s="9" t="n"/>
      <c r="B6" s="9" t="n"/>
      <c r="C6" s="9" t="n"/>
      <c r="D6" s="9" t="n"/>
      <c r="E6" s="9" t="n"/>
      <c r="F6" s="9" t="n"/>
      <c r="G6" s="9" t="n"/>
      <c r="H6" s="9" t="n"/>
      <c r="I6" s="9" t="n"/>
    </row>
    <row r="7">
      <c r="A7" s="9" t="n"/>
      <c r="B7" s="9" t="n"/>
      <c r="C7" s="9" t="n"/>
      <c r="D7" s="9" t="n"/>
      <c r="E7" s="9" t="n"/>
      <c r="F7" s="9" t="n"/>
      <c r="G7" s="9" t="n"/>
      <c r="H7" s="9" t="n"/>
      <c r="I7" s="9" t="n"/>
    </row>
    <row r="8">
      <c r="A8" s="9" t="n"/>
      <c r="B8" s="9" t="n"/>
      <c r="C8" s="9" t="n"/>
      <c r="D8" s="9" t="n"/>
      <c r="E8" s="9" t="n"/>
      <c r="F8" s="9" t="n"/>
      <c r="G8" s="9" t="n"/>
      <c r="H8" s="9" t="n"/>
      <c r="I8" s="9" t="n"/>
    </row>
    <row r="9">
      <c r="A9" s="9" t="n"/>
      <c r="B9" s="9" t="n"/>
      <c r="C9" s="9" t="n"/>
      <c r="D9" s="9" t="n"/>
      <c r="E9" s="9" t="n"/>
      <c r="F9" s="9" t="n"/>
      <c r="G9" s="9" t="n"/>
      <c r="H9" s="9" t="n"/>
      <c r="I9" s="9" t="n"/>
    </row>
    <row r="10">
      <c r="A10" s="9" t="n"/>
      <c r="B10" s="9" t="n"/>
      <c r="C10" s="9" t="n"/>
      <c r="D10" s="9" t="n"/>
      <c r="E10" s="9" t="n"/>
      <c r="F10" s="9" t="n"/>
      <c r="G10" s="9" t="n"/>
      <c r="H10" s="9" t="n"/>
      <c r="I10" s="9" t="n"/>
    </row>
    <row r="11">
      <c r="A11" s="9" t="n"/>
      <c r="B11" s="9" t="n"/>
      <c r="C11" s="9" t="n"/>
      <c r="D11" s="9" t="n"/>
      <c r="E11" s="9" t="n"/>
      <c r="F11" s="9" t="n"/>
      <c r="G11" s="9" t="n"/>
      <c r="H11" s="9" t="n"/>
      <c r="I11" s="9" t="n"/>
    </row>
    <row r="12">
      <c r="A12" s="9" t="n"/>
      <c r="B12" s="9" t="n"/>
      <c r="C12" s="9" t="n"/>
      <c r="D12" s="9" t="n"/>
      <c r="E12" s="9" t="n"/>
      <c r="F12" s="9" t="n"/>
      <c r="G12" s="9" t="n"/>
      <c r="H12" s="9" t="n"/>
      <c r="I12" s="9" t="n"/>
    </row>
    <row r="13">
      <c r="A13" s="9" t="n"/>
      <c r="B13" s="9" t="n"/>
      <c r="C13" s="9" t="n"/>
      <c r="D13" s="9" t="n"/>
      <c r="E13" s="9" t="n"/>
      <c r="F13" s="9" t="n"/>
      <c r="G13" s="9" t="n"/>
      <c r="H13" s="9" t="n"/>
      <c r="I13" s="9" t="n"/>
    </row>
    <row r="14">
      <c r="A14" s="9" t="n"/>
      <c r="B14" s="9" t="n"/>
      <c r="C14" s="9" t="n"/>
      <c r="D14" s="9" t="n"/>
      <c r="E14" s="9" t="n"/>
      <c r="F14" s="9" t="n"/>
      <c r="G14" s="9" t="n"/>
      <c r="H14" s="9" t="n"/>
      <c r="I14" s="9" t="n"/>
    </row>
    <row r="15">
      <c r="A15" s="9" t="n"/>
      <c r="B15" s="9" t="n"/>
      <c r="C15" s="9" t="n"/>
      <c r="D15" s="9" t="n"/>
      <c r="E15" s="9" t="n"/>
      <c r="F15" s="9" t="n"/>
      <c r="G15" s="9" t="n"/>
      <c r="H15" s="9" t="n"/>
      <c r="I15" s="9" t="n"/>
    </row>
    <row r="16">
      <c r="A16" s="9" t="n"/>
      <c r="B16" s="9" t="n"/>
      <c r="C16" s="9" t="n"/>
      <c r="D16" s="9" t="n"/>
      <c r="E16" s="9" t="n"/>
      <c r="F16" s="9" t="n"/>
      <c r="G16" s="9" t="n"/>
      <c r="H16" s="9" t="n"/>
      <c r="I16" s="9" t="n"/>
    </row>
    <row r="17">
      <c r="A17" s="9" t="n"/>
      <c r="B17" s="9" t="n"/>
      <c r="C17" s="9" t="n"/>
      <c r="D17" s="9" t="n"/>
      <c r="E17" s="9" t="n"/>
      <c r="F17" s="9" t="n"/>
      <c r="G17" s="9" t="n"/>
      <c r="H17" s="9" t="n"/>
      <c r="I17" s="9" t="n"/>
    </row>
    <row r="18">
      <c r="A18" s="9" t="n"/>
      <c r="B18" s="9" t="n"/>
      <c r="C18" s="9" t="n"/>
      <c r="D18" s="9" t="n"/>
      <c r="E18" s="9" t="n"/>
      <c r="F18" s="9" t="n"/>
      <c r="G18" s="9" t="n"/>
      <c r="H18" s="9" t="n"/>
      <c r="I18" s="9" t="n"/>
    </row>
    <row r="19">
      <c r="A19" s="9" t="n"/>
      <c r="B19" s="9" t="n"/>
      <c r="C19" s="9" t="n"/>
      <c r="D19" s="9" t="n"/>
      <c r="E19" s="9" t="n"/>
      <c r="F19" s="9" t="n"/>
      <c r="G19" s="9" t="n"/>
      <c r="H19" s="9" t="n"/>
      <c r="I19" s="9" t="n"/>
    </row>
    <row r="20">
      <c r="A20" s="9" t="n"/>
      <c r="B20" s="9" t="n"/>
      <c r="C20" s="9" t="n"/>
      <c r="D20" s="9" t="n"/>
      <c r="E20" s="9" t="n"/>
      <c r="F20" s="9" t="n"/>
      <c r="G20" s="9" t="n"/>
      <c r="H20" s="9" t="n"/>
      <c r="I20" s="9" t="n"/>
    </row>
    <row r="23">
      <c r="A23" s="1" t="inlineStr">
        <is>
          <t>Nossos produtos</t>
        </is>
      </c>
    </row>
    <row r="24">
      <c r="A24" s="6" t="inlineStr">
        <is>
          <t>Produto</t>
        </is>
      </c>
      <c r="B24" s="6" t="inlineStr">
        <is>
          <t>Tipo</t>
        </is>
      </c>
      <c r="C24" s="6" t="inlineStr">
        <is>
          <t>Link de venda (com rastreio por canal)</t>
        </is>
      </c>
      <c r="D24" s="6" t="inlineStr">
        <is>
          <t>Para quem é (1 linha)</t>
        </is>
      </c>
      <c r="E24" s="6" t="inlineStr">
        <is>
          <t>Temas de live ligados</t>
        </is>
      </c>
    </row>
    <row r="25">
      <c r="A25" s="9" t="inlineStr">
        <is>
          <t>[Pós 1]</t>
        </is>
      </c>
      <c r="B25" s="11" t="inlineStr">
        <is>
          <t>Pós</t>
        </is>
      </c>
      <c r="C25" s="9" t="n"/>
      <c r="D25" s="9" t="n"/>
      <c r="E25" s="9" t="n"/>
    </row>
    <row r="26">
      <c r="A26" s="9" t="inlineStr">
        <is>
          <t>[Pós 2]</t>
        </is>
      </c>
      <c r="B26" s="11" t="inlineStr">
        <is>
          <t>Pós</t>
        </is>
      </c>
      <c r="C26" s="9" t="n"/>
      <c r="D26" s="9" t="n"/>
      <c r="E26" s="9" t="n"/>
    </row>
    <row r="27">
      <c r="A27" s="9" t="inlineStr">
        <is>
          <t>[Curso 1]</t>
        </is>
      </c>
      <c r="B27" s="11" t="inlineStr">
        <is>
          <t>Curso</t>
        </is>
      </c>
      <c r="C27" s="9" t="n"/>
      <c r="D27" s="9" t="n"/>
      <c r="E27" s="9" t="n"/>
    </row>
    <row r="28">
      <c r="A28" s="9" t="inlineStr">
        <is>
          <t>[Curso 2]</t>
        </is>
      </c>
      <c r="B28" s="11" t="inlineStr">
        <is>
          <t>Curso</t>
        </is>
      </c>
      <c r="C28" s="9" t="n"/>
      <c r="D28" s="9" t="n"/>
      <c r="E28" s="9" t="n"/>
    </row>
    <row r="29">
      <c r="A29" s="9" t="inlineStr">
        <is>
          <t>[Curso 3]</t>
        </is>
      </c>
      <c r="B29" s="11" t="inlineStr">
        <is>
          <t>Curso</t>
        </is>
      </c>
      <c r="C29" s="9" t="n"/>
      <c r="D29" s="9" t="n"/>
      <c r="E29" s="9" t="n"/>
    </row>
    <row r="30">
      <c r="A30" s="9" t="inlineStr">
        <is>
          <t>[Curso 4]</t>
        </is>
      </c>
      <c r="B30" s="11" t="inlineStr">
        <is>
          <t>Curso</t>
        </is>
      </c>
      <c r="C30" s="9" t="n"/>
      <c r="D30" s="9" t="n"/>
      <c r="E30" s="9" t="n"/>
    </row>
    <row r="31">
      <c r="A31" s="9" t="inlineStr">
        <is>
          <t>[Curso 5]</t>
        </is>
      </c>
      <c r="B31" s="11" t="inlineStr">
        <is>
          <t>Curso</t>
        </is>
      </c>
      <c r="C31" s="9" t="n"/>
      <c r="D31" s="9" t="n"/>
      <c r="E31" s="9" t="n"/>
    </row>
    <row r="32">
      <c r="A32" s="9" t="inlineStr">
        <is>
          <t>[Curso 6]</t>
        </is>
      </c>
      <c r="B32" s="11" t="inlineStr">
        <is>
          <t>Curso</t>
        </is>
      </c>
      <c r="C32" s="9" t="n"/>
      <c r="D32" s="9" t="n"/>
      <c r="E32" s="9" t="n"/>
    </row>
    <row r="33">
      <c r="A33" s="9" t="inlineStr">
        <is>
          <t>[Curso 7]</t>
        </is>
      </c>
      <c r="B33" s="11" t="inlineStr">
        <is>
          <t>Curso</t>
        </is>
      </c>
      <c r="C33" s="9" t="n"/>
      <c r="D33" s="9" t="n"/>
      <c r="E33" s="9" t="n"/>
    </row>
    <row r="34">
      <c r="A34" s="9" t="inlineStr">
        <is>
          <t>Mentoria</t>
        </is>
      </c>
      <c r="B34" s="11" t="inlineStr">
        <is>
          <t>Mentoria</t>
        </is>
      </c>
      <c r="C34" s="9" t="n"/>
      <c r="D34" s="9" t="n"/>
      <c r="E34" s="9" t="n"/>
    </row>
  </sheetData>
  <dataValidations count="2">
    <dataValidation sqref="D5 D6 D7 D8 D9 D10 D11 D12 D13 D14 D15 D16 D17 D18 D19 D20" showDropDown="0" showInputMessage="0" showErrorMessage="0" allowBlank="0" type="list">
      <formula1>"Pós,Curso,Mentoria,Só conteúdo"</formula1>
    </dataValidation>
    <dataValidation sqref="F5 F6 F7 F8 F9 F10 F11 F12 F13 F14 F15 F16 F17 F18 F19 F20 G5 G6 G7 G8 G9 G10 G11 G12 G13 G14 G15 G16 G17 G18 G19 G20" showDropDown="0" showInputMessage="0" showErrorMessage="0" allowBlank="0" type="list">
      <formula1>"Sim,Não"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10" customWidth="1" min="1" max="1"/>
    <col width="26" customWidth="1" min="2" max="2"/>
    <col width="80" customWidth="1" min="3" max="3"/>
  </cols>
  <sheetData>
    <row r="1">
      <c r="A1" s="1" t="inlineStr">
        <is>
          <t>Sequência de venda nos stories (seg, qua, sex)</t>
        </is>
      </c>
    </row>
    <row r="3">
      <c r="A3" s="6" t="inlineStr">
        <is>
          <t>Story</t>
        </is>
      </c>
      <c r="B3" s="6" t="inlineStr">
        <is>
          <t>Função</t>
        </is>
      </c>
      <c r="C3" s="6" t="inlineStr">
        <is>
          <t>Exemplo (produto da semana: formação de exames)</t>
        </is>
      </c>
    </row>
    <row r="4" ht="34" customHeight="1">
      <c r="A4" s="5" t="inlineStr">
        <is>
          <t>1</t>
        </is>
      </c>
      <c r="B4" t="inlineStr">
        <is>
          <t>Pergunta (interação)</t>
        </is>
      </c>
      <c r="C4" s="3" t="inlineStr">
        <is>
          <t>Enquete: "Já atendeu paciente com o exame todo normal e cheio de sintomas?" Sim / Toda semana</t>
        </is>
      </c>
    </row>
    <row r="5" ht="34" customHeight="1">
      <c r="A5" s="5" t="inlineStr">
        <is>
          <t>2</t>
        </is>
      </c>
      <c r="B5" t="inlineStr">
        <is>
          <t>Conteúdo (pessoa falando)</t>
        </is>
      </c>
      <c r="C5" s="3" t="inlineStr">
        <is>
          <t>Gabriel, 15 segundos: "Quando o exame vem normal, eu não paro na faixa de referência. Eu olho como um marcador conversa com o outro."</t>
        </is>
      </c>
    </row>
    <row r="6" ht="34" customHeight="1">
      <c r="A6" s="5" t="inlineStr">
        <is>
          <t>3</t>
        </is>
      </c>
      <c r="B6" t="inlineStr">
        <is>
          <t>Prova</t>
        </is>
      </c>
      <c r="C6" s="3" t="inlineStr">
        <is>
          <t>Print autorizado de aluna: "Depois da formação, nunca mais li hemograma do mesmo jeito." (sem dados de paciente)</t>
        </is>
      </c>
    </row>
    <row r="7" ht="34" customHeight="1">
      <c r="A7" s="5" t="inlineStr">
        <is>
          <t>4</t>
        </is>
      </c>
      <c r="B7" t="inlineStr">
        <is>
          <t>Venda, com link (só aqui)</t>
        </is>
      </c>
      <c r="C7" s="3" t="inlineStr">
        <is>
          <t>Gabriel: "É isso que a gente ensina na Formação em Exames Laboratoriais. O link tá aqui." + figurinha de link com rastreio</t>
        </is>
      </c>
    </row>
    <row r="8" ht="34" customHeight="1">
      <c r="A8" s="5" t="inlineStr"/>
      <c r="B8" t="inlineStr"/>
      <c r="C8" s="3" t="inlineStr"/>
    </row>
    <row r="9" ht="34" customHeight="1">
      <c r="A9" s="5" t="inlineStr">
        <is>
          <t>ERRADO</t>
        </is>
      </c>
      <c r="B9" t="inlineStr">
        <is>
          <t>Venda solta</t>
        </is>
      </c>
      <c r="C9" s="3" t="inlineStr">
        <is>
          <t>Arte do curso com "COMPRE AGORA" e o link, sem nenhum story antes sobre o assunto.</t>
        </is>
      </c>
    </row>
    <row r="10" ht="34" customHeight="1">
      <c r="A10" s="5" t="inlineStr">
        <is>
          <t>ERRADO</t>
        </is>
      </c>
      <c r="B10" t="inlineStr">
        <is>
          <t>Urgência falsa</t>
        </is>
      </c>
      <c r="C10" s="3" t="inlineStr">
        <is>
          <t>"Últimas vagas!" quando não é verdade.</t>
        </is>
      </c>
    </row>
    <row r="11" ht="34" customHeight="1">
      <c r="A11" s="5" t="inlineStr">
        <is>
          <t>ERRADO</t>
        </is>
      </c>
      <c r="B11" t="inlineStr">
        <is>
          <t>Venda todo dia</t>
        </is>
      </c>
      <c r="C11" s="3" t="inlineStr">
        <is>
          <t>Link de compra em todos os dias da semana: a audiência aprende a pular.</t>
        </is>
      </c>
    </row>
    <row r="14">
      <c r="A14" s="3" t="inlineStr">
        <is>
          <t>Termômetro: se a taxa de saída no story de venda for bem maior que nos outros stories do dia, a venda está agressiva demais. Ajustar o contexto antes dela.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2026-10-23T17:35:09Z</dcterms:created>
  <dcterms:modified xmlns:dcterms="http://purl.org/dc/terms/" xmlns:xsi="http://www.w3.org/2001/XMLSchema-instance" xsi:type="dcterms:W3CDTF">2026-10-23T17:35:09Z</dcterms:modified>
</cp:coreProperties>
</file>